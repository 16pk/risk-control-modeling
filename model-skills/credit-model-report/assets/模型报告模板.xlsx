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20" activeTab="4"/>
  </bookViews>
  <sheets>
    <sheet name="回溯表" sheetId="1" r:id="rId1"/>
    <sheet name="建模信息" sheetId="2" r:id="rId2"/>
    <sheet name="KS" sheetId="3" r:id="rId3"/>
    <sheet name="特征重要性" sheetId="4" r:id="rId4"/>
    <sheet name="模型效果" sheetId="6" r:id="rId5"/>
    <sheet name="打分分布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<sst xmlns="http://schemas.openxmlformats.org/spreadsheetml/2006/main" count="546" uniqueCount="202">
  <si>
    <t>回溯样本逻辑：</t>
  </si>
  <si>
    <t>sql片段</t>
  </si>
  <si>
    <t>回溯表：</t>
  </si>
  <si>
    <t>dp_jckx_mart.***</t>
  </si>
  <si>
    <t>主要字段</t>
  </si>
  <si>
    <t>数据类型</t>
  </si>
  <si>
    <t>含义</t>
  </si>
  <si>
    <t>fuid</t>
  </si>
  <si>
    <t>int</t>
  </si>
  <si>
    <t>用户ID</t>
  </si>
  <si>
    <t>fbk_date</t>
  </si>
  <si>
    <t>string</t>
  </si>
  <si>
    <t>观察日</t>
  </si>
  <si>
    <t>**</t>
  </si>
  <si>
    <t>建模样本</t>
  </si>
  <si>
    <t>sql逻辑或者样本表</t>
  </si>
  <si>
    <t>建模标签</t>
  </si>
  <si>
    <t>dpd30_3c</t>
  </si>
  <si>
    <t>训练集/OOT集</t>
  </si>
  <si>
    <t>训练集：202401-202410</t>
  </si>
  <si>
    <t>OOT集：202411 - 202504</t>
  </si>
  <si>
    <t>样本统计</t>
  </si>
  <si>
    <t>月份</t>
  </si>
  <si>
    <t>用信</t>
  </si>
  <si>
    <t>有表现</t>
  </si>
  <si>
    <t>逾期</t>
  </si>
  <si>
    <t>逾期率</t>
  </si>
  <si>
    <t>-</t>
  </si>
  <si>
    <t>入模特征</t>
  </si>
  <si>
    <t>(1) 三方：同盾、互金、百融多头、在网时长、蚂蚁联合建模分、腾讯联合建模分、度小满联合建模分，银联模型分</t>
  </si>
  <si>
    <t>(2) 人行：人行A卡</t>
  </si>
  <si>
    <t>(3) 基础信息：性别、年龄、省份</t>
  </si>
  <si>
    <t>(4) 其它：用户申请行为、设备</t>
  </si>
  <si>
    <t>有表现样本数&amp;逾期样本数</t>
  </si>
  <si>
    <t>fmth</t>
  </si>
  <si>
    <t>fpd7</t>
  </si>
  <si>
    <t>fpd15</t>
  </si>
  <si>
    <t>dpd30_1c</t>
  </si>
  <si>
    <t>dpd30_2c</t>
  </si>
  <si>
    <t>dpd30_4c</t>
  </si>
  <si>
    <t>dpd30_5c</t>
  </si>
  <si>
    <t>dpd30_6c</t>
  </si>
  <si>
    <t/>
  </si>
  <si>
    <t>cnt</t>
  </si>
  <si>
    <t>bad_cnt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</si>
  <si>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</si>
  <si>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</si>
  <si>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</si>
  <si>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</si>
  <si>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</si>
  <si>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</si>
  <si>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</si>
  <si>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</si>
  <si>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</si>
  <si>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</si>
  <si>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</si>
  <si>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</si>
  <si>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</si>
  <si>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</si>
  <si>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V10</t>
  </si>
  <si>
    <t>V91refit</t>
  </si>
  <si>
    <t>V10 - V91refit</t>
  </si>
  <si>
    <t>入模特征概况</t>
  </si>
  <si>
    <t>类型</t>
  </si>
  <si>
    <t>特征权重</t>
  </si>
  <si>
    <t>特征数量</t>
  </si>
  <si>
    <t>三方-互金</t>
  </si>
  <si>
    <t>三方-百融</t>
  </si>
  <si>
    <t>三方-人行</t>
  </si>
  <si>
    <t>三方-银联</t>
  </si>
  <si>
    <t>前筛-百融</t>
  </si>
  <si>
    <t>前筛-同盾</t>
  </si>
  <si>
    <t>三方-蚂蚁</t>
  </si>
  <si>
    <t>前筛-电话邦</t>
  </si>
  <si>
    <t>三方-中移金科</t>
  </si>
  <si>
    <t>三方-友盟</t>
  </si>
  <si>
    <t>前筛-天创</t>
  </si>
  <si>
    <t>三方-度小满</t>
  </si>
  <si>
    <t>前筛-避雷针</t>
  </si>
  <si>
    <t>三方-腾讯</t>
  </si>
  <si>
    <t>总计</t>
  </si>
  <si>
    <t>top N特征重要性</t>
  </si>
  <si>
    <t>feature_name</t>
  </si>
  <si>
    <t>imp</t>
  </si>
  <si>
    <t>%imp</t>
  </si>
  <si>
    <t>fsm字段</t>
  </si>
  <si>
    <t>mob4_v5_score</t>
  </si>
  <si>
    <t>人行mob4v5A卡子分</t>
  </si>
  <si>
    <t>pboc_model_rd_online_ascore_mob4_v5_db</t>
  </si>
  <si>
    <t>function1</t>
  </si>
  <si>
    <t>银联分段</t>
  </si>
  <si>
    <t>unionpay_hy_v1_risk_score</t>
  </si>
  <si>
    <t>scorecust24</t>
  </si>
  <si>
    <t>客制化评分24</t>
  </si>
  <si>
    <t>br_customized_score24</t>
  </si>
  <si>
    <t>ant_xj_score</t>
  </si>
  <si>
    <t>蚂蚁联合建模分</t>
  </si>
  <si>
    <t>model2_score2_new</t>
  </si>
  <si>
    <t>中移金融定制模型分-消金版</t>
  </si>
  <si>
    <t>cmft_fqzty_score_xj</t>
  </si>
  <si>
    <t>floan_balance</t>
  </si>
  <si>
    <t>借款余额</t>
  </si>
  <si>
    <t>xin_nifa_loan_balance</t>
  </si>
  <si>
    <t>y2_score_v1</t>
  </si>
  <si>
    <t>友盟联合建模分</t>
  </si>
  <si>
    <t>credit_model_plus_fqldzf_score</t>
  </si>
  <si>
    <t>l3406_d_zz</t>
  </si>
  <si>
    <t>天创手机号前筛分</t>
  </si>
  <si>
    <t>tc_mobile_qs_score</t>
  </si>
  <si>
    <t>fcredit_money_amount</t>
  </si>
  <si>
    <t>授信金额</t>
  </si>
  <si>
    <t>xin_nifa_credit_money_amount</t>
  </si>
  <si>
    <t>dxm_lxa_v3_seg123_score</t>
  </si>
  <si>
    <t>度小满联合建模分</t>
  </si>
  <si>
    <t>ty_00180</t>
  </si>
  <si>
    <t>图源180</t>
  </si>
  <si>
    <t>tuyuan_score_180</t>
  </si>
  <si>
    <t>tx_fraud_model3_score</t>
  </si>
  <si>
    <t>腾讯联合建模分</t>
  </si>
  <si>
    <t>sj_score_f01</t>
  </si>
  <si>
    <t>电话邦事件分F01</t>
  </si>
  <si>
    <t>xin_dhb_sjf_f01</t>
  </si>
  <si>
    <t>non_sil_stand_score_v4</t>
  </si>
  <si>
    <t>同盾非银标准转化分v4</t>
  </si>
  <si>
    <t>xin_tongdun_non_bank_score_v4</t>
  </si>
  <si>
    <t>fquery_cnt_m9_type1_rate</t>
  </si>
  <si>
    <t>最近9月内贷前审批类查询占比</t>
  </si>
  <si>
    <t>xin_nifa_query_cnt_m9_type1_rate</t>
  </si>
  <si>
    <t>fals_m6_cell_nbank_cons_allnum</t>
  </si>
  <si>
    <t>按手机号查询，近6个月在非银机构-持牌消费金融机构申请次数</t>
  </si>
  <si>
    <t>als_m6_cell_nbank_cons_allnum</t>
  </si>
  <si>
    <t>fals_m12_id_max_inteday</t>
  </si>
  <si>
    <t>按身份证号查询，近12个月申请最大间隔天数</t>
  </si>
  <si>
    <t>als_m12_id_max_inteday</t>
  </si>
  <si>
    <t>fals_m12_cell_pdl_orgnum</t>
  </si>
  <si>
    <t>按手机号查询，近12个月申请线上小额现金贷的机构数</t>
  </si>
  <si>
    <t>als_m12_cell_pdl_orgnum</t>
  </si>
  <si>
    <t>non_sil_stand_score_v6</t>
  </si>
  <si>
    <t>同盾非银标准转化分v6</t>
  </si>
  <si>
    <t>xin_tongdun_non_bank_score_v6</t>
  </si>
  <si>
    <t>fals_m6_id_caon_allnum</t>
  </si>
  <si>
    <t>按身份证号查询，近6个月申请线上现金分期的次数</t>
  </si>
  <si>
    <t>als_m6_id_caon_allnum</t>
  </si>
  <si>
    <t>fquery_cnt_m12</t>
  </si>
  <si>
    <t>最近12月内各类查询总次数</t>
  </si>
  <si>
    <t>xin_nifa_query_cnt_m12</t>
  </si>
  <si>
    <t>fals_m12_cell_nbank_night_orgnum</t>
  </si>
  <si>
    <t>按手机号查询，近12个月在非银机构夜间申请机构数</t>
  </si>
  <si>
    <t>als_m12_cell_nbank_night_orgnum</t>
  </si>
  <si>
    <t>等频分桶Lift（多个OOT月合并）</t>
  </si>
  <si>
    <t>以FPD7为标签</t>
  </si>
  <si>
    <t>以3c为标签</t>
  </si>
  <si>
    <t>用信人数</t>
  </si>
  <si>
    <t>逾期人数</t>
  </si>
  <si>
    <t>Lift</t>
  </si>
  <si>
    <t>(437.999, 527.0]</t>
  </si>
  <si>
    <t>(527.0, 539.0]</t>
  </si>
  <si>
    <t>(539.0, 551.0]</t>
  </si>
  <si>
    <t>(551.0, 564.0]</t>
  </si>
  <si>
    <t>(564.0, 578.0]</t>
  </si>
  <si>
    <t>(578.0, 591.0]</t>
  </si>
  <si>
    <t>(591.0, 610.0]</t>
  </si>
  <si>
    <t>(610.0, 636.0]</t>
  </si>
  <si>
    <t>(636.0, 665.0]</t>
  </si>
  <si>
    <t>(665.0, 800.0]</t>
  </si>
  <si>
    <t>V9.1</t>
  </si>
  <si>
    <t>SWAP分析</t>
  </si>
  <si>
    <t>样本数</t>
  </si>
  <si>
    <t>消金A卡V73</t>
  </si>
  <si>
    <t>坏样本数</t>
  </si>
  <si>
    <t>%fpd7</t>
  </si>
  <si>
    <t>消金A卡V91</t>
  </si>
  <si>
    <t>1-[448, 560]</t>
  </si>
  <si>
    <t>2-[560, 575]</t>
  </si>
  <si>
    <t>3-[575, 588]</t>
  </si>
  <si>
    <t>4-[588, 606]</t>
  </si>
  <si>
    <t>5-[606, 704]</t>
  </si>
  <si>
    <t>1-[434, 547]</t>
  </si>
  <si>
    <t>2-[547, 559]</t>
  </si>
  <si>
    <t>3-[559, 590]</t>
  </si>
  <si>
    <t>4-[590, 609]</t>
  </si>
  <si>
    <t>5-[609, 674]</t>
  </si>
  <si>
    <t>以dpd30_3c为标签</t>
  </si>
  <si>
    <t>PSI（基于用信样本计算）</t>
  </si>
  <si>
    <t>psi</t>
  </si>
  <si>
    <t>用信用户分布及占比</t>
  </si>
  <si>
    <t>score_bin</t>
  </si>
  <si>
    <t>0-500</t>
  </si>
  <si>
    <t>500-510</t>
  </si>
  <si>
    <t>510-520</t>
  </si>
  <si>
    <t>520-530</t>
  </si>
  <si>
    <t>530-540</t>
  </si>
  <si>
    <t>540-550</t>
  </si>
  <si>
    <t>550-560</t>
  </si>
  <si>
    <t>560-570</t>
  </si>
  <si>
    <t>570-580</t>
  </si>
  <si>
    <t>580-1000</t>
  </si>
  <si>
    <t>Total</t>
  </si>
  <si>
    <t>FPD7分段逾期率</t>
  </si>
  <si>
    <t>有表现用户数</t>
  </si>
  <si>
    <t>Group</t>
  </si>
  <si>
    <t>dpd30_3c分段逾期率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</si>
</sst>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_);[Red]\(0.00\)"/>
  </numFmts>
  <fonts count="37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b/>
      <sz val="12"/>
      <color theme="1"/>
      <name val="宋体"/>
      <charset val="134"/>
    </font>
    <font>
      <b/>
      <sz val="11"/>
      <color rgb="FF000000"/>
      <name val="微软雅黑"/>
      <charset val="134"/>
    </font>
    <font>
      <b/>
      <sz val="11"/>
      <color rgb="FF000000"/>
      <name val="等线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2"/>
      <color rgb="FF000000"/>
      <name val="等线"/>
      <charset val="134"/>
      <scheme val="minor"/>
    </font>
    <font>
      <sz val="12"/>
      <color rgb="FF000000"/>
      <name val="Helvetica Neue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F5EE"/>
        <bgColor rgb="FF000000"/>
      </patternFill>
    </fill>
    <fill>
      <patternFill patternType="solid">
        <fgColor rgb="FFFFF5EE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4" applyNumberFormat="0" applyAlignment="0" applyProtection="0">
      <alignment vertical="center"/>
    </xf>
    <xf numFmtId="0" fontId="27" fillId="10" borderId="15" applyNumberFormat="0" applyAlignment="0" applyProtection="0">
      <alignment vertical="center"/>
    </xf>
    <xf numFmtId="0" fontId="28" fillId="10" borderId="14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49" applyFont="1" applyAlignment="1">
      <alignment horizontal="center" vertical="center"/>
    </xf>
    <xf numFmtId="0" fontId="3" fillId="2" borderId="1" xfId="50" applyFont="1" applyFill="1" applyBorder="1" applyAlignment="1">
      <alignment horizontal="center" vertical="center"/>
    </xf>
    <xf numFmtId="0" fontId="4" fillId="0" borderId="0" xfId="49" applyFont="1" applyAlignment="1">
      <alignment horizontal="center" vertical="center"/>
    </xf>
    <xf numFmtId="176" fontId="3" fillId="0" borderId="0" xfId="49" applyNumberFormat="1" applyFont="1" applyAlignment="1">
      <alignment horizontal="center" vertical="center"/>
    </xf>
    <xf numFmtId="0" fontId="5" fillId="3" borderId="0" xfId="0" applyFont="1" applyFill="1" applyAlignment="1">
      <alignment horizontal="left"/>
    </xf>
    <xf numFmtId="17" fontId="6" fillId="4" borderId="2" xfId="0" applyNumberFormat="1" applyFont="1" applyFill="1" applyBorder="1" applyAlignment="1">
      <alignment horizont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" fontId="9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/>
    <xf numFmtId="10" fontId="8" fillId="0" borderId="0" xfId="3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10" fontId="9" fillId="0" borderId="0" xfId="0" applyNumberFormat="1" applyFont="1" applyAlignment="1">
      <alignment horizontal="center"/>
    </xf>
    <xf numFmtId="0" fontId="11" fillId="0" borderId="0" xfId="0" applyFont="1">
      <alignment vertical="center"/>
    </xf>
    <xf numFmtId="10" fontId="11" fillId="0" borderId="0" xfId="0" applyNumberFormat="1" applyFont="1">
      <alignment vertical="center"/>
    </xf>
    <xf numFmtId="0" fontId="12" fillId="0" borderId="0" xfId="0" applyFont="1" applyAlignment="1"/>
    <xf numFmtId="177" fontId="0" fillId="0" borderId="0" xfId="0" applyNumberFormat="1">
      <alignment vertical="center"/>
    </xf>
    <xf numFmtId="10" fontId="0" fillId="0" borderId="0" xfId="3" applyNumberFormat="1" applyFont="1" applyAlignment="1">
      <alignment vertical="center"/>
    </xf>
    <xf numFmtId="0" fontId="13" fillId="0" borderId="4" xfId="0" applyFont="1" applyBorder="1" applyAlignment="1"/>
    <xf numFmtId="0" fontId="7" fillId="0" borderId="4" xfId="0" applyFont="1" applyBorder="1" applyAlignment="1"/>
    <xf numFmtId="0" fontId="5" fillId="0" borderId="4" xfId="0" applyFont="1" applyBorder="1" applyAlignment="1"/>
    <xf numFmtId="0" fontId="8" fillId="0" borderId="4" xfId="0" applyFont="1" applyBorder="1" applyAlignment="1"/>
    <xf numFmtId="0" fontId="13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/>
    <xf numFmtId="0" fontId="7" fillId="0" borderId="5" xfId="3" applyNumberFormat="1" applyFont="1" applyBorder="1" applyAlignment="1">
      <alignment horizontal="center"/>
    </xf>
    <xf numFmtId="10" fontId="8" fillId="0" borderId="0" xfId="3" applyNumberFormat="1" applyFont="1" applyFill="1" applyBorder="1" applyAlignment="1"/>
    <xf numFmtId="0" fontId="7" fillId="0" borderId="0" xfId="3" applyNumberFormat="1" applyFont="1" applyBorder="1" applyAlignment="1">
      <alignment horizontal="center"/>
    </xf>
    <xf numFmtId="10" fontId="13" fillId="0" borderId="4" xfId="3" applyNumberFormat="1" applyFont="1" applyBorder="1" applyAlignment="1"/>
    <xf numFmtId="0" fontId="7" fillId="0" borderId="4" xfId="3" applyNumberFormat="1" applyFont="1" applyBorder="1" applyAlignment="1">
      <alignment horizontal="center"/>
    </xf>
    <xf numFmtId="10" fontId="5" fillId="0" borderId="4" xfId="3" applyNumberFormat="1" applyFont="1" applyFill="1" applyBorder="1" applyAlignment="1"/>
    <xf numFmtId="10" fontId="8" fillId="0" borderId="4" xfId="3" applyNumberFormat="1" applyFont="1" applyFill="1" applyBorder="1" applyAlignment="1"/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0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77" fontId="15" fillId="0" borderId="6" xfId="0" applyNumberFormat="1" applyFont="1" applyBorder="1" applyAlignment="1">
      <alignment horizontal="center" vertical="center"/>
    </xf>
    <xf numFmtId="10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7" fontId="15" fillId="0" borderId="8" xfId="0" applyNumberFormat="1" applyFont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10" fontId="15" fillId="7" borderId="9" xfId="0" applyNumberFormat="1" applyFont="1" applyFill="1" applyBorder="1" applyAlignment="1">
      <alignment horizontal="center" vertical="center"/>
    </xf>
    <xf numFmtId="0" fontId="16" fillId="0" borderId="0" xfId="0" applyFont="1" applyAlignment="1"/>
    <xf numFmtId="0" fontId="13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  <cellStyle name="常规 9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1"/>
  <sheetViews>
    <sheetView workbookViewId="0">
      <selection activeCell="C47" sqref="C47"/>
    </sheetView>
  </sheetViews>
  <sheetFormatPr defaultColWidth="11" defaultRowHeight="17.6" outlineLevelCol="3"/>
  <cols>
    <col min="1" max="1" width="10.8333333333333" style="1"/>
  </cols>
  <sheetData>
    <row r="2" spans="1:4">
      <c r="A2" s="1" t="s">
        <v>0</v>
      </c>
    </row>
    <row r="3" spans="1:4">
      <c r="B3" t="s">
        <v>1</v>
      </c>
    </row>
    <row r="6" spans="1:4">
      <c r="A6" s="1" t="s">
        <v>2</v>
      </c>
      <c r="B6" t="s">
        <v>3</v>
      </c>
    </row>
    <row r="8" spans="1:4">
      <c r="B8" s="53" t="s">
        <v>4</v>
      </c>
      <c r="C8" s="53" t="s">
        <v>5</v>
      </c>
      <c r="D8" s="53" t="s">
        <v>6</v>
      </c>
    </row>
    <row r="9" spans="1:4">
      <c r="B9" s="53" t="s">
        <v>7</v>
      </c>
      <c r="C9" s="54" t="s">
        <v>8</v>
      </c>
      <c r="D9" s="54" t="s">
        <v>9</v>
      </c>
    </row>
    <row r="10" spans="1:4">
      <c r="B10" s="55" t="s">
        <v>10</v>
      </c>
      <c r="C10" s="56" t="s">
        <v>11</v>
      </c>
      <c r="D10" s="56" t="s">
        <v>12</v>
      </c>
    </row>
    <row r="11" spans="1:4">
      <c r="B11" s="55" t="s">
        <v>13</v>
      </c>
      <c r="C11" s="56" t="s">
        <v>8</v>
      </c>
      <c r="D11" s="56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D31" sqref="D31"/>
    </sheetView>
  </sheetViews>
  <sheetFormatPr defaultColWidth="11" defaultRowHeight="17.6" outlineLevelCol="5"/>
  <cols>
    <col min="1" max="1" width="10.8333333333333" style="1"/>
  </cols>
  <sheetData>
    <row r="1" spans="1:6">
      <c r="A1" s="1" t="s">
        <v>14</v>
      </c>
    </row>
    <row r="2" spans="1:6">
      <c r="B2" t="s">
        <v>15</v>
      </c>
    </row>
    <row r="4" spans="1:6">
      <c r="A4" s="1" t="s">
        <v>16</v>
      </c>
    </row>
    <row r="5" spans="1:6">
      <c r="B5" t="s">
        <v>17</v>
      </c>
    </row>
    <row r="7" spans="1:6">
      <c r="A7" s="1" t="s">
        <v>18</v>
      </c>
    </row>
    <row r="8" spans="1:6">
      <c r="B8" t="s">
        <v>19</v>
      </c>
    </row>
    <row r="9" spans="1:6">
      <c r="B9" t="s">
        <v>20</v>
      </c>
    </row>
    <row r="11" spans="1:6">
      <c r="A11" s="1" t="s">
        <v>21</v>
      </c>
    </row>
    <row r="12" spans="1:6">
      <c r="B12" s="35" t="s">
        <v>22</v>
      </c>
      <c r="C12" s="36" t="s">
        <v>23</v>
      </c>
      <c r="D12" s="36" t="s">
        <v>24</v>
      </c>
      <c r="E12" s="36" t="s">
        <v>25</v>
      </c>
      <c r="F12" s="36" t="s">
        <v>26</v>
      </c>
    </row>
    <row r="13" spans="1:6">
      <c r="B13" s="49">
        <v>45292</v>
      </c>
      <c r="C13" s="39">
        <v>28427</v>
      </c>
      <c r="D13" s="39">
        <v>28427</v>
      </c>
      <c r="E13" s="39">
        <v>168</v>
      </c>
      <c r="F13" s="38">
        <v>0.0059</v>
      </c>
    </row>
    <row r="14" spans="1:6">
      <c r="B14" s="49">
        <v>45323</v>
      </c>
      <c r="C14" s="39">
        <v>20860</v>
      </c>
      <c r="D14" s="39">
        <v>20860</v>
      </c>
      <c r="E14" s="39">
        <v>112</v>
      </c>
      <c r="F14" s="38">
        <v>0.0054</v>
      </c>
    </row>
    <row r="15" spans="1:6">
      <c r="B15" s="49">
        <v>45352</v>
      </c>
      <c r="C15" s="39">
        <v>24342</v>
      </c>
      <c r="D15" s="39">
        <v>24342</v>
      </c>
      <c r="E15" s="39">
        <v>117</v>
      </c>
      <c r="F15" s="38">
        <v>0.0048</v>
      </c>
    </row>
    <row r="16" spans="1:6">
      <c r="B16" s="49">
        <v>45383</v>
      </c>
      <c r="C16" s="39">
        <v>13658</v>
      </c>
      <c r="D16" s="39">
        <v>13658</v>
      </c>
      <c r="E16" s="39">
        <v>71</v>
      </c>
      <c r="F16" s="38">
        <v>0.0052</v>
      </c>
    </row>
    <row r="17" spans="1:6">
      <c r="B17" s="49">
        <v>45413</v>
      </c>
      <c r="C17" s="39">
        <v>9141</v>
      </c>
      <c r="D17" s="39">
        <v>9141</v>
      </c>
      <c r="E17" s="39">
        <v>46</v>
      </c>
      <c r="F17" s="38">
        <v>0.005</v>
      </c>
    </row>
    <row r="18" spans="1:6">
      <c r="B18" s="49">
        <v>45444</v>
      </c>
      <c r="C18" s="50">
        <v>8285</v>
      </c>
      <c r="D18" s="50">
        <v>8285</v>
      </c>
      <c r="E18" s="50">
        <v>55</v>
      </c>
      <c r="F18" s="51">
        <v>0.0066</v>
      </c>
    </row>
    <row r="19" spans="1:6">
      <c r="B19" s="49">
        <v>45474</v>
      </c>
      <c r="C19" s="50">
        <v>10438</v>
      </c>
      <c r="D19" s="50">
        <v>10438</v>
      </c>
      <c r="E19" s="50">
        <v>81</v>
      </c>
      <c r="F19" s="51">
        <v>0.0078</v>
      </c>
    </row>
    <row r="20" spans="1:6">
      <c r="B20" s="49">
        <v>45505</v>
      </c>
      <c r="C20" s="50">
        <v>11117</v>
      </c>
      <c r="D20" s="50">
        <v>11117</v>
      </c>
      <c r="E20" s="50">
        <v>95</v>
      </c>
      <c r="F20" s="51">
        <v>0.0085</v>
      </c>
    </row>
    <row r="21" spans="1:6">
      <c r="B21" s="49">
        <v>45536</v>
      </c>
      <c r="C21" s="50">
        <v>10705</v>
      </c>
      <c r="D21" s="50">
        <v>10705</v>
      </c>
      <c r="E21" s="50">
        <v>100</v>
      </c>
      <c r="F21" s="51">
        <v>0.0093</v>
      </c>
    </row>
    <row r="22" spans="1:6">
      <c r="B22" s="49">
        <v>45566</v>
      </c>
      <c r="C22" s="50">
        <v>11438</v>
      </c>
      <c r="D22" s="50">
        <v>11438</v>
      </c>
      <c r="E22" s="50">
        <v>59</v>
      </c>
      <c r="F22" s="51">
        <v>0.0052</v>
      </c>
    </row>
    <row r="23" spans="1:6">
      <c r="B23" s="49">
        <v>45597</v>
      </c>
      <c r="C23" s="50">
        <v>13844</v>
      </c>
      <c r="D23" s="50">
        <v>13844</v>
      </c>
      <c r="E23" s="50">
        <v>96</v>
      </c>
      <c r="F23" s="51">
        <v>0.0069</v>
      </c>
    </row>
    <row r="24" spans="1:6">
      <c r="B24" s="49">
        <v>45627</v>
      </c>
      <c r="C24" s="39">
        <v>22176</v>
      </c>
      <c r="D24" s="39">
        <v>22176</v>
      </c>
      <c r="E24" s="39">
        <v>159</v>
      </c>
      <c r="F24" s="38">
        <v>0.0072</v>
      </c>
    </row>
    <row r="25" spans="1:6">
      <c r="B25" s="49">
        <v>45658</v>
      </c>
      <c r="C25" s="39">
        <v>23778</v>
      </c>
      <c r="D25" s="39">
        <v>23778</v>
      </c>
      <c r="E25" s="39">
        <v>207</v>
      </c>
      <c r="F25" s="38">
        <v>0.0087</v>
      </c>
    </row>
    <row r="26" spans="1:6">
      <c r="B26" s="49">
        <v>45689</v>
      </c>
      <c r="C26" s="39">
        <v>23456</v>
      </c>
      <c r="D26" s="39">
        <v>7602</v>
      </c>
      <c r="E26" s="39">
        <v>61</v>
      </c>
      <c r="F26" s="38">
        <v>0.008</v>
      </c>
    </row>
    <row r="27" spans="1:6">
      <c r="B27" s="49">
        <v>45717</v>
      </c>
      <c r="C27" s="39">
        <v>24000</v>
      </c>
      <c r="D27" s="39" t="s">
        <v>27</v>
      </c>
      <c r="E27" s="39" t="s">
        <v>27</v>
      </c>
      <c r="F27" s="38" t="s">
        <v>27</v>
      </c>
    </row>
    <row r="28" spans="1:6">
      <c r="B28" s="49">
        <v>45748</v>
      </c>
      <c r="C28" s="39">
        <v>25000</v>
      </c>
      <c r="D28" s="39" t="s">
        <v>27</v>
      </c>
      <c r="E28" s="39" t="s">
        <v>27</v>
      </c>
      <c r="F28" s="38" t="s">
        <v>27</v>
      </c>
    </row>
    <row r="30" spans="1:6">
      <c r="A30" s="1" t="s">
        <v>28</v>
      </c>
    </row>
    <row r="31" spans="1:6">
      <c r="B31" s="52" t="s">
        <v>29</v>
      </c>
    </row>
    <row r="32" spans="1:6">
      <c r="B32" s="52" t="s">
        <v>30</v>
      </c>
    </row>
    <row r="33" spans="2:2">
      <c r="B33" s="52" t="s">
        <v>31</v>
      </c>
    </row>
    <row r="34" spans="2:2">
      <c r="B34" s="52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7"/>
  <sheetViews>
    <sheetView workbookViewId="0">
      <selection activeCell="N71" sqref="N71"/>
    </sheetView>
  </sheetViews>
  <sheetFormatPr defaultColWidth="11" defaultRowHeight="17.6"/>
  <sheetData>
    <row r="1" spans="1:18">
      <c r="A1" t="s">
        <v>33</v>
      </c>
    </row>
    <row r="2" spans="1:18">
      <c r="B2" s="41" t="s">
        <v>34</v>
      </c>
      <c r="C2" s="41" t="s">
        <v>35</v>
      </c>
      <c r="D2" s="41" t="s">
        <v>36</v>
      </c>
      <c r="E2" s="41" t="s">
        <v>37</v>
      </c>
      <c r="F2" s="41" t="s">
        <v>38</v>
      </c>
      <c r="G2" s="41" t="s">
        <v>17</v>
      </c>
      <c r="H2" s="41" t="s">
        <v>39</v>
      </c>
      <c r="I2" s="41" t="s">
        <v>40</v>
      </c>
      <c r="J2" s="41" t="s">
        <v>41</v>
      </c>
      <c r="K2" s="41" t="s">
        <v>35</v>
      </c>
      <c r="L2" s="41" t="s">
        <v>36</v>
      </c>
      <c r="M2" s="41" t="s">
        <v>37</v>
      </c>
      <c r="N2" s="41" t="s">
        <v>38</v>
      </c>
      <c r="O2" s="41" t="s">
        <v>17</v>
      </c>
      <c r="P2" s="41" t="s">
        <v>39</v>
      </c>
      <c r="Q2" s="41" t="s">
        <v>40</v>
      </c>
      <c r="R2" s="41" t="s">
        <v>41</v>
      </c>
    </row>
    <row r="3" spans="1:18">
      <c r="B3" s="45" t="s">
        <v>42</v>
      </c>
      <c r="C3" s="46" t="s">
        <v>43</v>
      </c>
      <c r="D3" s="47"/>
      <c r="E3" s="47"/>
      <c r="F3" s="47"/>
      <c r="G3" s="47"/>
      <c r="H3" s="47"/>
      <c r="I3" s="47"/>
      <c r="J3" s="48"/>
      <c r="K3" s="46" t="s">
        <v>44</v>
      </c>
      <c r="L3" s="47"/>
      <c r="M3" s="47"/>
      <c r="N3" s="47"/>
      <c r="O3" s="47"/>
      <c r="P3" s="47"/>
      <c r="Q3" s="47"/>
      <c r="R3" s="48"/>
    </row>
    <row r="4" spans="1:18">
      <c r="B4" s="45" t="s">
        <v>45</v>
      </c>
      <c r="C4" s="45">
        <v>28427</v>
      </c>
      <c r="D4" s="45">
        <v>28427</v>
      </c>
      <c r="E4" s="45">
        <v>28427</v>
      </c>
      <c r="F4" s="45">
        <v>28427</v>
      </c>
      <c r="G4" s="45">
        <v>28427</v>
      </c>
      <c r="H4" s="45">
        <v>28414</v>
      </c>
      <c r="I4" s="45">
        <v>28338</v>
      </c>
      <c r="J4" s="45">
        <v>28272</v>
      </c>
      <c r="K4" s="45">
        <v>330</v>
      </c>
      <c r="L4" s="45">
        <v>203</v>
      </c>
      <c r="M4" s="45">
        <v>168</v>
      </c>
      <c r="N4" s="45">
        <v>520</v>
      </c>
      <c r="O4" s="45">
        <v>998</v>
      </c>
      <c r="P4" s="45">
        <v>1438</v>
      </c>
      <c r="Q4" s="45">
        <v>1863</v>
      </c>
      <c r="R4" s="45">
        <v>2309</v>
      </c>
    </row>
    <row r="5" spans="1:18">
      <c r="B5" s="45" t="s">
        <v>46</v>
      </c>
      <c r="C5" s="45">
        <v>20860</v>
      </c>
      <c r="D5" s="45">
        <v>20860</v>
      </c>
      <c r="E5" s="45">
        <v>20860</v>
      </c>
      <c r="F5" s="45">
        <v>20857</v>
      </c>
      <c r="G5" s="45">
        <v>20851</v>
      </c>
      <c r="H5" s="45">
        <v>20839</v>
      </c>
      <c r="I5" s="45">
        <v>20789</v>
      </c>
      <c r="J5" s="45">
        <v>20725</v>
      </c>
      <c r="K5" s="45">
        <v>198</v>
      </c>
      <c r="L5" s="45">
        <v>143</v>
      </c>
      <c r="M5" s="45">
        <v>112</v>
      </c>
      <c r="N5" s="45">
        <v>394</v>
      </c>
      <c r="O5" s="45">
        <v>703</v>
      </c>
      <c r="P5" s="45">
        <v>1016</v>
      </c>
      <c r="Q5" s="45">
        <v>1342</v>
      </c>
      <c r="R5" s="45">
        <v>1681</v>
      </c>
    </row>
    <row r="6" spans="1:18">
      <c r="B6" s="45" t="s">
        <v>47</v>
      </c>
      <c r="C6" s="45">
        <v>24351</v>
      </c>
      <c r="D6" s="45">
        <v>24351</v>
      </c>
      <c r="E6" s="45">
        <v>24342</v>
      </c>
      <c r="F6" s="45">
        <v>24282</v>
      </c>
      <c r="G6" s="45">
        <v>24178</v>
      </c>
      <c r="H6" s="45">
        <v>24114</v>
      </c>
      <c r="I6" s="45">
        <v>24038</v>
      </c>
      <c r="J6" s="45">
        <v>23952</v>
      </c>
      <c r="K6" s="45">
        <v>282</v>
      </c>
      <c r="L6" s="45">
        <v>192</v>
      </c>
      <c r="M6" s="45">
        <v>118</v>
      </c>
      <c r="N6" s="45">
        <v>450</v>
      </c>
      <c r="O6" s="45">
        <v>810</v>
      </c>
      <c r="P6" s="45">
        <v>1168</v>
      </c>
      <c r="Q6" s="45">
        <v>1540</v>
      </c>
      <c r="R6" s="45">
        <v>1946</v>
      </c>
    </row>
    <row r="7" spans="1:18">
      <c r="B7" s="45" t="s">
        <v>48</v>
      </c>
      <c r="C7" s="45">
        <v>13662</v>
      </c>
      <c r="D7" s="45">
        <v>13662</v>
      </c>
      <c r="E7" s="45">
        <v>13658</v>
      </c>
      <c r="F7" s="45">
        <v>13619</v>
      </c>
      <c r="G7" s="45">
        <v>13549</v>
      </c>
      <c r="H7" s="45">
        <v>13494</v>
      </c>
      <c r="I7" s="45">
        <v>13456</v>
      </c>
      <c r="J7" s="45">
        <v>13413</v>
      </c>
      <c r="K7" s="45">
        <v>133</v>
      </c>
      <c r="L7" s="45">
        <v>86</v>
      </c>
      <c r="M7" s="45">
        <v>71</v>
      </c>
      <c r="N7" s="45">
        <v>225</v>
      </c>
      <c r="O7" s="45">
        <v>381</v>
      </c>
      <c r="P7" s="45">
        <v>565</v>
      </c>
      <c r="Q7" s="45">
        <v>789</v>
      </c>
      <c r="R7" s="45">
        <v>996</v>
      </c>
    </row>
    <row r="8" spans="1:18">
      <c r="B8" s="45" t="s">
        <v>49</v>
      </c>
      <c r="C8" s="45">
        <v>9142</v>
      </c>
      <c r="D8" s="45">
        <v>9142</v>
      </c>
      <c r="E8" s="45">
        <v>9141</v>
      </c>
      <c r="F8" s="45">
        <v>9116</v>
      </c>
      <c r="G8" s="45">
        <v>9069</v>
      </c>
      <c r="H8" s="45">
        <v>9023</v>
      </c>
      <c r="I8" s="45">
        <v>8996</v>
      </c>
      <c r="J8" s="45">
        <v>8893</v>
      </c>
      <c r="K8" s="45">
        <v>99</v>
      </c>
      <c r="L8" s="45">
        <v>61</v>
      </c>
      <c r="M8" s="45">
        <v>46</v>
      </c>
      <c r="N8" s="45">
        <v>133</v>
      </c>
      <c r="O8" s="45">
        <v>240</v>
      </c>
      <c r="P8" s="45">
        <v>387</v>
      </c>
      <c r="Q8" s="45">
        <v>528</v>
      </c>
      <c r="R8" s="45">
        <v>683</v>
      </c>
    </row>
    <row r="9" spans="1:18">
      <c r="B9" s="45" t="s">
        <v>50</v>
      </c>
      <c r="C9" s="45">
        <v>8288</v>
      </c>
      <c r="D9" s="45">
        <v>8288</v>
      </c>
      <c r="E9" s="45">
        <v>8285</v>
      </c>
      <c r="F9" s="45">
        <v>8261</v>
      </c>
      <c r="G9" s="45">
        <v>8214</v>
      </c>
      <c r="H9" s="45">
        <v>8166</v>
      </c>
      <c r="I9" s="45">
        <v>8060</v>
      </c>
      <c r="J9" s="45">
        <v>7822</v>
      </c>
      <c r="K9" s="45">
        <v>93</v>
      </c>
      <c r="L9" s="45">
        <v>68</v>
      </c>
      <c r="M9" s="45">
        <v>55</v>
      </c>
      <c r="N9" s="45">
        <v>156</v>
      </c>
      <c r="O9" s="45">
        <v>271</v>
      </c>
      <c r="P9" s="45">
        <v>384</v>
      </c>
      <c r="Q9" s="45">
        <v>508</v>
      </c>
      <c r="R9" s="45">
        <v>621</v>
      </c>
    </row>
    <row r="10" spans="1:18">
      <c r="B10" s="45" t="s">
        <v>51</v>
      </c>
      <c r="C10" s="45">
        <v>10439</v>
      </c>
      <c r="D10" s="45">
        <v>10439</v>
      </c>
      <c r="E10" s="45">
        <v>10438</v>
      </c>
      <c r="F10" s="45">
        <v>10406</v>
      </c>
      <c r="G10" s="45">
        <v>10335</v>
      </c>
      <c r="H10" s="45">
        <v>10215</v>
      </c>
      <c r="I10" s="45">
        <v>9938</v>
      </c>
      <c r="J10" s="45">
        <v>9534</v>
      </c>
      <c r="K10" s="45">
        <v>137</v>
      </c>
      <c r="L10" s="45">
        <v>93</v>
      </c>
      <c r="M10" s="45">
        <v>84</v>
      </c>
      <c r="N10" s="45">
        <v>230</v>
      </c>
      <c r="O10" s="45">
        <v>392</v>
      </c>
      <c r="P10" s="45">
        <v>565</v>
      </c>
      <c r="Q10" s="45">
        <v>716</v>
      </c>
      <c r="R10" s="45">
        <v>876</v>
      </c>
    </row>
    <row r="11" spans="1:18">
      <c r="B11" s="45" t="s">
        <v>52</v>
      </c>
      <c r="C11" s="45">
        <v>11118</v>
      </c>
      <c r="D11" s="45">
        <v>11118</v>
      </c>
      <c r="E11" s="45">
        <v>11117</v>
      </c>
      <c r="F11" s="45">
        <v>11076</v>
      </c>
      <c r="G11" s="45">
        <v>10884</v>
      </c>
      <c r="H11" s="45">
        <v>10576</v>
      </c>
      <c r="I11" s="45">
        <v>10134</v>
      </c>
      <c r="J11" s="45">
        <v>9330</v>
      </c>
      <c r="K11" s="45">
        <v>148</v>
      </c>
      <c r="L11" s="45">
        <v>108</v>
      </c>
      <c r="M11" s="45">
        <v>95</v>
      </c>
      <c r="N11" s="45">
        <v>252</v>
      </c>
      <c r="O11" s="45">
        <v>434</v>
      </c>
      <c r="P11" s="45">
        <v>617</v>
      </c>
      <c r="Q11" s="45">
        <v>781</v>
      </c>
      <c r="R11" s="45">
        <v>892</v>
      </c>
    </row>
    <row r="12" spans="1:18">
      <c r="B12" s="45" t="s">
        <v>53</v>
      </c>
      <c r="C12" s="45">
        <v>10710</v>
      </c>
      <c r="D12" s="45">
        <v>10710</v>
      </c>
      <c r="E12" s="45">
        <v>10705</v>
      </c>
      <c r="F12" s="45">
        <v>10612</v>
      </c>
      <c r="G12" s="45">
        <v>10323</v>
      </c>
      <c r="H12" s="45">
        <v>9917</v>
      </c>
      <c r="I12" s="45">
        <v>9110</v>
      </c>
      <c r="J12" s="45">
        <v>4287</v>
      </c>
      <c r="K12" s="45">
        <v>159</v>
      </c>
      <c r="L12" s="45">
        <v>115</v>
      </c>
      <c r="M12" s="45">
        <v>100</v>
      </c>
      <c r="N12" s="45">
        <v>243</v>
      </c>
      <c r="O12" s="45">
        <v>444</v>
      </c>
      <c r="P12" s="45">
        <v>594</v>
      </c>
      <c r="Q12" s="45">
        <v>719</v>
      </c>
      <c r="R12" s="45">
        <v>443</v>
      </c>
    </row>
    <row r="13" spans="1:18">
      <c r="B13" s="45" t="s">
        <v>54</v>
      </c>
      <c r="C13" s="45">
        <v>11464</v>
      </c>
      <c r="D13" s="45">
        <v>11464</v>
      </c>
      <c r="E13" s="45">
        <v>11438</v>
      </c>
      <c r="F13" s="45">
        <v>11225</v>
      </c>
      <c r="G13" s="45">
        <v>10705</v>
      </c>
      <c r="H13" s="45">
        <v>9795</v>
      </c>
      <c r="I13" s="45">
        <v>4298</v>
      </c>
      <c r="J13" s="45">
        <v>2</v>
      </c>
      <c r="K13" s="45">
        <v>94</v>
      </c>
      <c r="L13" s="45">
        <v>72</v>
      </c>
      <c r="M13" s="45">
        <v>59</v>
      </c>
      <c r="N13" s="45">
        <v>216</v>
      </c>
      <c r="O13" s="45">
        <v>370</v>
      </c>
      <c r="P13" s="45">
        <v>499</v>
      </c>
      <c r="Q13" s="45">
        <v>293</v>
      </c>
      <c r="R13" s="45">
        <v>0</v>
      </c>
    </row>
    <row r="14" spans="1:18">
      <c r="B14" s="45" t="s">
        <v>55</v>
      </c>
      <c r="C14" s="45">
        <v>13872</v>
      </c>
      <c r="D14" s="45">
        <v>13872</v>
      </c>
      <c r="E14" s="45">
        <v>13844</v>
      </c>
      <c r="F14" s="45">
        <v>13495</v>
      </c>
      <c r="G14" s="45">
        <v>12431</v>
      </c>
      <c r="H14" s="45">
        <v>5303</v>
      </c>
      <c r="I14" s="45">
        <v>3</v>
      </c>
      <c r="J14" s="45"/>
      <c r="K14" s="45">
        <v>155</v>
      </c>
      <c r="L14" s="45">
        <v>116</v>
      </c>
      <c r="M14" s="45">
        <v>96</v>
      </c>
      <c r="N14" s="45">
        <v>270</v>
      </c>
      <c r="O14" s="45">
        <v>446</v>
      </c>
      <c r="P14" s="45">
        <v>270</v>
      </c>
      <c r="Q14" s="45">
        <v>0</v>
      </c>
      <c r="R14" s="45"/>
    </row>
    <row r="15" spans="1:18">
      <c r="B15" s="45" t="s">
        <v>56</v>
      </c>
      <c r="C15" s="45">
        <v>22240</v>
      </c>
      <c r="D15" s="45">
        <v>22240</v>
      </c>
      <c r="E15" s="45">
        <v>22176</v>
      </c>
      <c r="F15" s="45">
        <v>20981</v>
      </c>
      <c r="G15" s="45">
        <v>9351</v>
      </c>
      <c r="H15" s="45">
        <v>2</v>
      </c>
      <c r="I15" s="45"/>
      <c r="J15" s="45"/>
      <c r="K15" s="45">
        <v>244</v>
      </c>
      <c r="L15" s="45">
        <v>190</v>
      </c>
      <c r="M15" s="45">
        <v>159</v>
      </c>
      <c r="N15" s="45">
        <v>440</v>
      </c>
      <c r="O15" s="45">
        <v>348</v>
      </c>
      <c r="P15" s="45">
        <v>1</v>
      </c>
      <c r="Q15" s="45"/>
      <c r="R15" s="45"/>
    </row>
    <row r="16" spans="1:18">
      <c r="B16" s="45" t="s">
        <v>57</v>
      </c>
      <c r="C16" s="45">
        <v>24095</v>
      </c>
      <c r="D16" s="45">
        <v>24094</v>
      </c>
      <c r="E16" s="45">
        <v>23778</v>
      </c>
      <c r="F16" s="45">
        <v>12225</v>
      </c>
      <c r="G16" s="45">
        <v>12</v>
      </c>
      <c r="H16" s="45"/>
      <c r="I16" s="45"/>
      <c r="J16" s="45"/>
      <c r="K16" s="45">
        <v>330</v>
      </c>
      <c r="L16" s="45">
        <v>241</v>
      </c>
      <c r="M16" s="45">
        <v>207</v>
      </c>
      <c r="N16" s="45">
        <v>285</v>
      </c>
      <c r="O16" s="45">
        <v>2</v>
      </c>
      <c r="P16" s="45"/>
      <c r="Q16" s="45"/>
      <c r="R16" s="45"/>
    </row>
    <row r="17" spans="1:18">
      <c r="B17" s="45" t="s">
        <v>58</v>
      </c>
      <c r="C17" s="45">
        <v>10047</v>
      </c>
      <c r="D17" s="45">
        <v>9515</v>
      </c>
      <c r="E17" s="45">
        <v>7602</v>
      </c>
      <c r="F17" s="45">
        <v>3</v>
      </c>
      <c r="G17" s="45"/>
      <c r="H17" s="45"/>
      <c r="I17" s="45"/>
      <c r="J17" s="45"/>
      <c r="K17" s="45">
        <v>107</v>
      </c>
      <c r="L17" s="45">
        <v>87</v>
      </c>
      <c r="M17" s="45">
        <v>61</v>
      </c>
      <c r="N17" s="45">
        <v>0</v>
      </c>
      <c r="O17" s="45"/>
      <c r="P17" s="45"/>
      <c r="Q17" s="45"/>
      <c r="R17" s="45"/>
    </row>
    <row r="18" spans="1:18">
      <c r="A18" t="s">
        <v>26</v>
      </c>
    </row>
    <row r="19" spans="1:18">
      <c r="B19" s="41" t="s">
        <v>34</v>
      </c>
      <c r="C19" s="41" t="s">
        <v>35</v>
      </c>
      <c r="D19" s="41" t="s">
        <v>36</v>
      </c>
      <c r="E19" s="41" t="s">
        <v>37</v>
      </c>
      <c r="F19" s="41" t="s">
        <v>38</v>
      </c>
      <c r="G19" s="41" t="s">
        <v>17</v>
      </c>
      <c r="H19" s="41" t="s">
        <v>39</v>
      </c>
      <c r="I19" s="41" t="s">
        <v>40</v>
      </c>
      <c r="J19" s="41" t="s">
        <v>41</v>
      </c>
    </row>
    <row r="20" spans="1:18">
      <c r="B20" s="45" t="s">
        <v>45</v>
      </c>
      <c r="C20" s="44">
        <v>0.0116086818869385</v>
      </c>
      <c r="D20" s="44">
        <v>0.00714109825166215</v>
      </c>
      <c r="E20" s="44">
        <v>0.00590987441516868</v>
      </c>
      <c r="F20" s="44">
        <v>0.018292468427903</v>
      </c>
      <c r="G20" s="44">
        <v>0.0351074682520139</v>
      </c>
      <c r="H20" s="44">
        <v>0.0506088547898923</v>
      </c>
      <c r="I20" s="44">
        <v>0.0657421130637307</v>
      </c>
      <c r="J20" s="44">
        <v>0.0816709111488398</v>
      </c>
    </row>
    <row r="21" spans="1:18">
      <c r="B21" s="45" t="s">
        <v>46</v>
      </c>
      <c r="C21" s="44">
        <v>0.00949185043144775</v>
      </c>
      <c r="D21" s="44">
        <v>0.00685522531160115</v>
      </c>
      <c r="E21" s="44">
        <v>0.00536912751677852</v>
      </c>
      <c r="F21" s="44">
        <v>0.0188905403461668</v>
      </c>
      <c r="G21" s="44">
        <v>0.0337154093328857</v>
      </c>
      <c r="H21" s="44">
        <v>0.0487547387110706</v>
      </c>
      <c r="I21" s="44">
        <v>0.0645533695704459</v>
      </c>
      <c r="J21" s="44">
        <v>0.0811097708082027</v>
      </c>
    </row>
    <row r="22" spans="1:18">
      <c r="B22" s="45" t="s">
        <v>47</v>
      </c>
      <c r="C22" s="44">
        <v>0.0115806332388814</v>
      </c>
      <c r="D22" s="44">
        <v>0.00788468646051497</v>
      </c>
      <c r="E22" s="44">
        <v>0.00484758853011256</v>
      </c>
      <c r="F22" s="44">
        <v>0.0185322461082283</v>
      </c>
      <c r="G22" s="44">
        <v>0.0335015303168169</v>
      </c>
      <c r="H22" s="44">
        <v>0.0484365928506262</v>
      </c>
      <c r="I22" s="44">
        <v>0.064065230052417</v>
      </c>
      <c r="J22" s="44">
        <v>0.0812458249832999</v>
      </c>
    </row>
    <row r="23" spans="1:18">
      <c r="B23" s="45" t="s">
        <v>48</v>
      </c>
      <c r="C23" s="44">
        <v>0.00973503147416191</v>
      </c>
      <c r="D23" s="44">
        <v>0.0062948323817889</v>
      </c>
      <c r="E23" s="44">
        <v>0.00519841850929858</v>
      </c>
      <c r="F23" s="44">
        <v>0.0165210367868419</v>
      </c>
      <c r="G23" s="44">
        <v>0.0281201564691121</v>
      </c>
      <c r="H23" s="44">
        <v>0.0418704609456055</v>
      </c>
      <c r="I23" s="44">
        <v>0.0586355529131986</v>
      </c>
      <c r="J23" s="44">
        <v>0.0742563184969805</v>
      </c>
    </row>
    <row r="24" spans="1:18">
      <c r="B24" s="45" t="s">
        <v>49</v>
      </c>
      <c r="C24" s="44">
        <v>0.0108291402318967</v>
      </c>
      <c r="D24" s="44">
        <v>0.00667250054692627</v>
      </c>
      <c r="E24" s="44">
        <v>0.00503227218028662</v>
      </c>
      <c r="F24" s="44">
        <v>0.0145897323387451</v>
      </c>
      <c r="G24" s="44">
        <v>0.0264637777042673</v>
      </c>
      <c r="H24" s="44">
        <v>0.0428903912224316</v>
      </c>
      <c r="I24" s="44">
        <v>0.0586927523343708</v>
      </c>
      <c r="J24" s="44">
        <v>0.0768019790846733</v>
      </c>
    </row>
    <row r="25" spans="1:18">
      <c r="B25" s="45" t="s">
        <v>50</v>
      </c>
      <c r="C25" s="44">
        <v>0.0112210424710425</v>
      </c>
      <c r="D25" s="44">
        <v>0.0082046332046332</v>
      </c>
      <c r="E25" s="44">
        <v>0.00663850331925166</v>
      </c>
      <c r="F25" s="44">
        <v>0.0188839123592785</v>
      </c>
      <c r="G25" s="44">
        <v>0.0329924519113708</v>
      </c>
      <c r="H25" s="44">
        <v>0.0470242468772961</v>
      </c>
      <c r="I25" s="44">
        <v>0.0630272952853598</v>
      </c>
      <c r="J25" s="44">
        <v>0.0793914599846587</v>
      </c>
    </row>
    <row r="26" spans="1:18">
      <c r="B26" s="45" t="s">
        <v>51</v>
      </c>
      <c r="C26" s="44">
        <v>0.0131238624389309</v>
      </c>
      <c r="D26" s="44">
        <v>0.00890889931985822</v>
      </c>
      <c r="E26" s="44">
        <v>0.0080475186817398</v>
      </c>
      <c r="F26" s="44">
        <v>0.0221026330962906</v>
      </c>
      <c r="G26" s="44">
        <v>0.037929366231253</v>
      </c>
      <c r="H26" s="44">
        <v>0.0553108174253549</v>
      </c>
      <c r="I26" s="44">
        <v>0.0720466894747434</v>
      </c>
      <c r="J26" s="44">
        <v>0.091881686595343</v>
      </c>
    </row>
    <row r="27" spans="1:18">
      <c r="B27" s="45" t="s">
        <v>52</v>
      </c>
      <c r="C27" s="44">
        <v>0.0133117467170354</v>
      </c>
      <c r="D27" s="44">
        <v>0.00971397733405289</v>
      </c>
      <c r="E27" s="44">
        <v>0.00854547090042278</v>
      </c>
      <c r="F27" s="44">
        <v>0.0227518959913326</v>
      </c>
      <c r="G27" s="44">
        <v>0.039875045938993</v>
      </c>
      <c r="H27" s="44">
        <v>0.058339636913767</v>
      </c>
      <c r="I27" s="44">
        <v>0.0770672982040655</v>
      </c>
      <c r="J27" s="44">
        <v>0.0956055734190782</v>
      </c>
    </row>
    <row r="28" spans="1:18">
      <c r="B28" s="45" t="s">
        <v>53</v>
      </c>
      <c r="C28" s="44">
        <v>0.0148459383753501</v>
      </c>
      <c r="D28" s="44">
        <v>0.0107376283846872</v>
      </c>
      <c r="E28" s="44">
        <v>0.00934142923867352</v>
      </c>
      <c r="F28" s="44">
        <v>0.0228986053524312</v>
      </c>
      <c r="G28" s="44">
        <v>0.0430107526881721</v>
      </c>
      <c r="H28" s="44">
        <v>0.0598971463144096</v>
      </c>
      <c r="I28" s="44">
        <v>0.0789242590559824</v>
      </c>
      <c r="J28" s="44">
        <v>0.103335665966877</v>
      </c>
    </row>
    <row r="29" spans="1:18">
      <c r="B29" s="45" t="s">
        <v>54</v>
      </c>
      <c r="C29" s="44">
        <v>0.00819958129797627</v>
      </c>
      <c r="D29" s="44">
        <v>0.00628053035589672</v>
      </c>
      <c r="E29" s="44">
        <v>0.00515824444833013</v>
      </c>
      <c r="F29" s="44">
        <v>0.0192427616926503</v>
      </c>
      <c r="G29" s="44">
        <v>0.034563288183092</v>
      </c>
      <c r="H29" s="44">
        <v>0.050944359367024</v>
      </c>
      <c r="I29" s="44">
        <v>0.0681712424383434</v>
      </c>
      <c r="J29" s="44">
        <v>0</v>
      </c>
    </row>
    <row r="30" spans="1:18">
      <c r="B30" s="45" t="s">
        <v>55</v>
      </c>
      <c r="C30" s="44">
        <v>0.0111735870818916</v>
      </c>
      <c r="D30" s="44">
        <v>0.00836216839677047</v>
      </c>
      <c r="E30" s="44">
        <v>0.0069344120196475</v>
      </c>
      <c r="F30" s="44">
        <v>0.0200074101519081</v>
      </c>
      <c r="G30" s="44">
        <v>0.0358780468184378</v>
      </c>
      <c r="H30" s="44">
        <v>0.0509145766547237</v>
      </c>
      <c r="I30" s="44">
        <v>0</v>
      </c>
      <c r="J30" s="44"/>
    </row>
    <row r="31" spans="1:18">
      <c r="B31" s="45" t="s">
        <v>56</v>
      </c>
      <c r="C31" s="44">
        <v>0.0109712230215827</v>
      </c>
      <c r="D31" s="44">
        <v>0.0085431654676259</v>
      </c>
      <c r="E31" s="44">
        <v>0.00716991341991342</v>
      </c>
      <c r="F31" s="44">
        <v>0.0209713550355083</v>
      </c>
      <c r="G31" s="44">
        <v>0.0372152710940006</v>
      </c>
      <c r="H31" s="44">
        <v>0.5</v>
      </c>
      <c r="I31" s="44"/>
      <c r="J31" s="44"/>
    </row>
    <row r="32" spans="1:18">
      <c r="B32" s="45" t="s">
        <v>57</v>
      </c>
      <c r="C32" s="44">
        <v>0.0136957875077817</v>
      </c>
      <c r="D32" s="44">
        <v>0.0100024902465344</v>
      </c>
      <c r="E32" s="44">
        <v>0.00870552611657835</v>
      </c>
      <c r="F32" s="44">
        <v>0.0233128834355828</v>
      </c>
      <c r="G32" s="44">
        <v>0.166666666666667</v>
      </c>
      <c r="H32" s="44"/>
      <c r="I32" s="44"/>
      <c r="J32" s="44"/>
    </row>
    <row r="33" spans="1:10">
      <c r="B33" s="45" t="s">
        <v>58</v>
      </c>
      <c r="C33" s="44">
        <v>0.0106499452572907</v>
      </c>
      <c r="D33" s="44">
        <v>0.00914345769837099</v>
      </c>
      <c r="E33" s="44">
        <v>0.00802420415680084</v>
      </c>
      <c r="F33" s="44">
        <v>0</v>
      </c>
      <c r="G33" s="44"/>
      <c r="H33" s="44"/>
      <c r="I33" s="44"/>
      <c r="J33" s="44"/>
    </row>
    <row r="35" spans="1:10">
      <c r="A35" t="s">
        <v>59</v>
      </c>
    </row>
    <row r="36" spans="1:10">
      <c r="B36" s="41" t="s">
        <v>34</v>
      </c>
      <c r="C36" s="41" t="s">
        <v>35</v>
      </c>
      <c r="D36" s="41" t="s">
        <v>36</v>
      </c>
      <c r="E36" s="41" t="s">
        <v>37</v>
      </c>
      <c r="F36" s="41" t="s">
        <v>38</v>
      </c>
      <c r="G36" s="41" t="s">
        <v>17</v>
      </c>
      <c r="H36" s="41" t="s">
        <v>39</v>
      </c>
      <c r="I36" s="41" t="s">
        <v>40</v>
      </c>
      <c r="J36" s="41" t="s">
        <v>41</v>
      </c>
    </row>
    <row r="37" spans="1:10">
      <c r="B37" s="45" t="s">
        <v>45</v>
      </c>
      <c r="C37" s="44">
        <v>0.276238701209339</v>
      </c>
      <c r="D37" s="44">
        <v>0.30160196262413</v>
      </c>
      <c r="E37" s="44">
        <v>0.290531335149864</v>
      </c>
      <c r="F37" s="44">
        <v>0.280128090277873</v>
      </c>
      <c r="G37" s="44">
        <v>0.263442485247574</v>
      </c>
      <c r="H37" s="44">
        <v>0.245669720120043</v>
      </c>
      <c r="I37" s="44">
        <v>0.222839278084177</v>
      </c>
      <c r="J37" s="44">
        <v>0.214374832345867</v>
      </c>
    </row>
    <row r="38" spans="1:10">
      <c r="B38" s="45" t="s">
        <v>46</v>
      </c>
      <c r="C38" s="44">
        <v>0.359899938304739</v>
      </c>
      <c r="D38" s="44">
        <v>0.388016868009145</v>
      </c>
      <c r="E38" s="44">
        <v>0.35814295353769</v>
      </c>
      <c r="F38" s="44">
        <v>0.266399972613689</v>
      </c>
      <c r="G38" s="44">
        <v>0.234775252039601</v>
      </c>
      <c r="H38" s="44">
        <v>0.210750327405412</v>
      </c>
      <c r="I38" s="44">
        <v>0.205189970646651</v>
      </c>
      <c r="J38" s="44">
        <v>0.195775592663022</v>
      </c>
    </row>
    <row r="39" spans="1:10">
      <c r="B39" s="45" t="s">
        <v>47</v>
      </c>
      <c r="C39" s="44">
        <v>0.346799935999604</v>
      </c>
      <c r="D39" s="44">
        <v>0.369791019909764</v>
      </c>
      <c r="E39" s="44">
        <v>0.371174126234243</v>
      </c>
      <c r="F39" s="44">
        <v>0.269719704598859</v>
      </c>
      <c r="G39" s="44">
        <v>0.228688276888094</v>
      </c>
      <c r="H39" s="44">
        <v>0.216046026465949</v>
      </c>
      <c r="I39" s="44">
        <v>0.202219591236393</v>
      </c>
      <c r="J39" s="44">
        <v>0.195524270265822</v>
      </c>
    </row>
    <row r="40" spans="1:10">
      <c r="B40" s="45" t="s">
        <v>48</v>
      </c>
      <c r="C40" s="44">
        <v>0.394093556753885</v>
      </c>
      <c r="D40" s="44">
        <v>0.425458401282701</v>
      </c>
      <c r="E40" s="44">
        <v>0.441246137308135</v>
      </c>
      <c r="F40" s="44">
        <v>0.286357075307351</v>
      </c>
      <c r="G40" s="44">
        <v>0.260485731734931</v>
      </c>
      <c r="H40" s="44">
        <v>0.248540942122977</v>
      </c>
      <c r="I40" s="44">
        <v>0.239670498965256</v>
      </c>
      <c r="J40" s="44">
        <v>0.233071449848682</v>
      </c>
    </row>
    <row r="41" spans="1:10">
      <c r="B41" s="45" t="s">
        <v>49</v>
      </c>
      <c r="C41" s="44">
        <v>0.379461986893149</v>
      </c>
      <c r="D41" s="44">
        <v>0.359083368084327</v>
      </c>
      <c r="E41" s="44">
        <v>0.366759088844803</v>
      </c>
      <c r="F41" s="44">
        <v>0.282326935004214</v>
      </c>
      <c r="G41" s="44">
        <v>0.255834465964435</v>
      </c>
      <c r="H41" s="44">
        <v>0.245499878520657</v>
      </c>
      <c r="I41" s="44">
        <v>0.224203239289446</v>
      </c>
      <c r="J41" s="44">
        <v>0.210137442643065</v>
      </c>
    </row>
    <row r="42" spans="1:10">
      <c r="B42" s="45" t="s">
        <v>50</v>
      </c>
      <c r="C42" s="44">
        <v>0.452282076010156</v>
      </c>
      <c r="D42" s="44">
        <v>0.479604980678403</v>
      </c>
      <c r="E42" s="44">
        <v>0.482237932177179</v>
      </c>
      <c r="F42" s="44">
        <v>0.405790189658172</v>
      </c>
      <c r="G42" s="44">
        <v>0.40519234601889</v>
      </c>
      <c r="H42" s="44">
        <v>0.382924938961706</v>
      </c>
      <c r="I42" s="44">
        <v>0.355502635793407</v>
      </c>
      <c r="J42" s="44">
        <v>0.351769446943426</v>
      </c>
    </row>
    <row r="43" spans="1:10">
      <c r="B43" s="45" t="s">
        <v>51</v>
      </c>
      <c r="C43" s="44">
        <v>0.440917148820936</v>
      </c>
      <c r="D43" s="44">
        <v>0.476134353518788</v>
      </c>
      <c r="E43" s="44">
        <v>0.481205791182612</v>
      </c>
      <c r="F43" s="44">
        <v>0.419246479354662</v>
      </c>
      <c r="G43" s="44">
        <v>0.378220397079681</v>
      </c>
      <c r="H43" s="44">
        <v>0.347312577376312</v>
      </c>
      <c r="I43" s="44">
        <v>0.329713740157433</v>
      </c>
      <c r="J43" s="44">
        <v>0.314304293756349</v>
      </c>
    </row>
    <row r="44" spans="1:10">
      <c r="B44" s="45" t="s">
        <v>52</v>
      </c>
      <c r="C44" s="44">
        <v>0.460361181600926</v>
      </c>
      <c r="D44" s="44">
        <v>0.477641537995761</v>
      </c>
      <c r="E44" s="44">
        <v>0.509204557392392</v>
      </c>
      <c r="F44" s="44">
        <v>0.39195966634991</v>
      </c>
      <c r="G44" s="44">
        <v>0.361202125548475</v>
      </c>
      <c r="H44" s="44">
        <v>0.351598279038059</v>
      </c>
      <c r="I44" s="44">
        <v>0.330608281552695</v>
      </c>
      <c r="J44" s="44">
        <v>0.30753387675017</v>
      </c>
    </row>
    <row r="45" spans="1:10">
      <c r="B45" s="45" t="s">
        <v>53</v>
      </c>
      <c r="C45" s="44">
        <v>0.458797610170189</v>
      </c>
      <c r="D45" s="44">
        <v>0.469396967396434</v>
      </c>
      <c r="E45" s="44">
        <v>0.474125412541254</v>
      </c>
      <c r="F45" s="44">
        <v>0.41689199406112</v>
      </c>
      <c r="G45" s="44">
        <v>0.375594695819415</v>
      </c>
      <c r="H45" s="44">
        <v>0.349746346153082</v>
      </c>
      <c r="I45" s="44">
        <v>0.337483584388797</v>
      </c>
      <c r="J45" s="44">
        <v>0.331719216485837</v>
      </c>
    </row>
    <row r="46" spans="1:10">
      <c r="B46" s="45" t="s">
        <v>54</v>
      </c>
      <c r="C46" s="44">
        <v>0.313907445872864</v>
      </c>
      <c r="D46" s="44">
        <v>0.321677980649189</v>
      </c>
      <c r="E46" s="44">
        <v>0.293205890720492</v>
      </c>
      <c r="F46" s="44">
        <v>0.293206652469528</v>
      </c>
      <c r="G46" s="44">
        <v>0.302126073824187</v>
      </c>
      <c r="H46" s="44">
        <v>0.316985735670998</v>
      </c>
      <c r="I46" s="44">
        <v>0.3848039779627</v>
      </c>
      <c r="J46" s="44"/>
    </row>
    <row r="47" spans="1:10">
      <c r="B47" s="45" t="s">
        <v>55</v>
      </c>
      <c r="C47" s="44">
        <v>0.369588008287338</v>
      </c>
      <c r="D47" s="44">
        <v>0.365523257562844</v>
      </c>
      <c r="E47" s="44">
        <v>0.390396178838134</v>
      </c>
      <c r="F47" s="44">
        <v>0.337973815024855</v>
      </c>
      <c r="G47" s="44">
        <v>0.303464345379407</v>
      </c>
      <c r="H47" s="44">
        <v>0.287740174110132</v>
      </c>
      <c r="I47" s="44"/>
      <c r="J47" s="44"/>
    </row>
    <row r="48" spans="1:10">
      <c r="B48" s="45" t="s">
        <v>56</v>
      </c>
      <c r="C48" s="44">
        <v>0.256033138663065</v>
      </c>
      <c r="D48" s="44">
        <v>0.254889604964793</v>
      </c>
      <c r="E48" s="44">
        <v>0.258057024546212</v>
      </c>
      <c r="F48" s="44">
        <v>0.271712008355794</v>
      </c>
      <c r="G48" s="44">
        <v>0.22423559962771</v>
      </c>
      <c r="H48" s="44"/>
      <c r="I48" s="44"/>
      <c r="J48" s="44"/>
    </row>
    <row r="49" spans="1:20">
      <c r="B49" s="45" t="s">
        <v>57</v>
      </c>
      <c r="C49" s="44">
        <v>0.248021345370388</v>
      </c>
      <c r="D49" s="44">
        <v>0.238263130693478</v>
      </c>
      <c r="E49" s="44">
        <v>0.232549946230906</v>
      </c>
      <c r="F49" s="44">
        <v>0.218046372211937</v>
      </c>
      <c r="G49" s="44"/>
      <c r="H49" s="44"/>
      <c r="I49" s="44"/>
      <c r="J49" s="44"/>
    </row>
    <row r="50" spans="1:20">
      <c r="B50" s="45" t="s">
        <v>58</v>
      </c>
      <c r="C50" s="44">
        <v>0.28320013539179</v>
      </c>
      <c r="D50" s="44">
        <v>0.302354444330656</v>
      </c>
      <c r="E50" s="44">
        <v>0.348351416627355</v>
      </c>
      <c r="F50" s="44"/>
      <c r="G50" s="44"/>
      <c r="H50" s="44"/>
      <c r="I50" s="44"/>
      <c r="J50" s="44"/>
    </row>
    <row r="52" spans="1:20">
      <c r="A52" t="s">
        <v>60</v>
      </c>
      <c r="L52" t="s">
        <v>61</v>
      </c>
    </row>
    <row r="53" spans="1:20">
      <c r="B53" s="41" t="s">
        <v>34</v>
      </c>
      <c r="C53" s="41" t="s">
        <v>35</v>
      </c>
      <c r="D53" s="41" t="s">
        <v>36</v>
      </c>
      <c r="E53" s="41" t="s">
        <v>37</v>
      </c>
      <c r="F53" s="41" t="s">
        <v>38</v>
      </c>
      <c r="G53" s="41" t="s">
        <v>17</v>
      </c>
      <c r="H53" s="41" t="s">
        <v>39</v>
      </c>
      <c r="I53" s="41" t="s">
        <v>40</v>
      </c>
      <c r="J53" s="41" t="s">
        <v>41</v>
      </c>
      <c r="L53" s="41" t="s">
        <v>34</v>
      </c>
      <c r="M53" s="41" t="s">
        <v>35</v>
      </c>
      <c r="N53" s="41" t="s">
        <v>36</v>
      </c>
      <c r="O53" s="41" t="s">
        <v>37</v>
      </c>
      <c r="P53" s="41" t="s">
        <v>38</v>
      </c>
      <c r="Q53" s="41" t="s">
        <v>17</v>
      </c>
      <c r="R53" s="41" t="s">
        <v>39</v>
      </c>
      <c r="S53" s="41" t="s">
        <v>40</v>
      </c>
      <c r="T53" s="41" t="s">
        <v>41</v>
      </c>
    </row>
    <row r="54" spans="1:20">
      <c r="B54" s="45" t="s">
        <v>45</v>
      </c>
      <c r="C54" s="44">
        <v>0.259206795506044</v>
      </c>
      <c r="D54" s="44">
        <v>0.313940446868403</v>
      </c>
      <c r="E54" s="44">
        <v>0.291252344385859</v>
      </c>
      <c r="F54" s="44">
        <v>0.202405861777166</v>
      </c>
      <c r="G54" s="44">
        <v>0.174191213006786</v>
      </c>
      <c r="H54" s="44">
        <v>0.164038306548076</v>
      </c>
      <c r="I54" s="44">
        <v>0.142998879324371</v>
      </c>
      <c r="J54" s="44">
        <v>0.139082507176527</v>
      </c>
      <c r="L54" s="45" t="s">
        <v>45</v>
      </c>
      <c r="M54" s="44">
        <f>C37-C54</f>
        <v>0.017031905703295</v>
      </c>
      <c r="N54" s="44">
        <f t="shared" ref="N54:T54" si="0">D37-D54</f>
        <v>-0.012338484244273</v>
      </c>
      <c r="O54" s="44">
        <f t="shared" si="0"/>
        <v>-0.000721009235994996</v>
      </c>
      <c r="P54" s="44">
        <f t="shared" si="0"/>
        <v>0.077722228500707</v>
      </c>
      <c r="Q54" s="44">
        <f t="shared" si="0"/>
        <v>0.089251272240788</v>
      </c>
      <c r="R54" s="44">
        <f t="shared" si="0"/>
        <v>0.081631413571967</v>
      </c>
      <c r="S54" s="44">
        <f t="shared" si="0"/>
        <v>0.079840398759806</v>
      </c>
      <c r="T54" s="44">
        <f t="shared" si="0"/>
        <v>0.07529232516934</v>
      </c>
    </row>
    <row r="55" spans="1:20">
      <c r="B55" s="45" t="s">
        <v>46</v>
      </c>
      <c r="C55" s="44">
        <v>0.316056704886441</v>
      </c>
      <c r="D55" s="44">
        <v>0.318738268055254</v>
      </c>
      <c r="E55" s="44">
        <v>0.295160979371506</v>
      </c>
      <c r="F55" s="44">
        <v>0.218836721769215</v>
      </c>
      <c r="G55" s="44">
        <v>0.163041925032145</v>
      </c>
      <c r="H55" s="44">
        <v>0.141372902152554</v>
      </c>
      <c r="I55" s="44">
        <v>0.133235795375516</v>
      </c>
      <c r="J55" s="44">
        <v>0.124504841226198</v>
      </c>
      <c r="L55" s="45" t="s">
        <v>46</v>
      </c>
      <c r="M55" s="44">
        <f t="shared" ref="M55:M67" si="1">C38-C55</f>
        <v>0.043843233418298</v>
      </c>
      <c r="N55" s="44">
        <f t="shared" ref="N55:N67" si="2">D38-D55</f>
        <v>0.069278599953891</v>
      </c>
      <c r="O55" s="44">
        <f t="shared" ref="O55:O67" si="3">E38-E55</f>
        <v>0.062981974166184</v>
      </c>
      <c r="P55" s="44">
        <f t="shared" ref="P55:P67" si="4">F38-F55</f>
        <v>0.047563250844474</v>
      </c>
      <c r="Q55" s="44">
        <f t="shared" ref="Q55:Q67" si="5">G38-G55</f>
        <v>0.071733327007456</v>
      </c>
      <c r="R55" s="44">
        <f t="shared" ref="R55:R67" si="6">H38-H55</f>
        <v>0.069377425252858</v>
      </c>
      <c r="S55" s="44">
        <f t="shared" ref="S55:S67" si="7">I38-I55</f>
        <v>0.071954175271135</v>
      </c>
      <c r="T55" s="44">
        <f t="shared" ref="T55:T67" si="8">J38-J55</f>
        <v>0.071270751436824</v>
      </c>
    </row>
    <row r="56" spans="1:20">
      <c r="B56" s="45" t="s">
        <v>47</v>
      </c>
      <c r="C56" s="44">
        <v>0.33484273493847</v>
      </c>
      <c r="D56" s="44">
        <v>0.343759701353533</v>
      </c>
      <c r="E56" s="44">
        <v>0.352048955511273</v>
      </c>
      <c r="F56" s="44">
        <v>0.231804296743874</v>
      </c>
      <c r="G56" s="44">
        <v>0.187197116664765</v>
      </c>
      <c r="H56" s="44">
        <v>0.170240597639007</v>
      </c>
      <c r="I56" s="44">
        <v>0.157799885242324</v>
      </c>
      <c r="J56" s="44">
        <v>0.151719903728022</v>
      </c>
      <c r="L56" s="45" t="s">
        <v>47</v>
      </c>
      <c r="M56" s="44">
        <f t="shared" si="1"/>
        <v>0.011957201061134</v>
      </c>
      <c r="N56" s="44">
        <f t="shared" si="2"/>
        <v>0.026031318556231</v>
      </c>
      <c r="O56" s="44">
        <f t="shared" si="3"/>
        <v>0.01912517072297</v>
      </c>
      <c r="P56" s="44">
        <f t="shared" si="4"/>
        <v>0.037915407854985</v>
      </c>
      <c r="Q56" s="44">
        <f t="shared" si="5"/>
        <v>0.041491160223329</v>
      </c>
      <c r="R56" s="44">
        <f t="shared" si="6"/>
        <v>0.045805428826942</v>
      </c>
      <c r="S56" s="44">
        <f t="shared" si="7"/>
        <v>0.044419705994069</v>
      </c>
      <c r="T56" s="44">
        <f t="shared" si="8"/>
        <v>0.0438043665378</v>
      </c>
    </row>
    <row r="57" spans="1:20">
      <c r="B57" s="45" t="s">
        <v>48</v>
      </c>
      <c r="C57" s="44">
        <v>0.33216476774759</v>
      </c>
      <c r="D57" s="44">
        <v>0.348904016664154</v>
      </c>
      <c r="E57" s="44">
        <v>0.346400919686071</v>
      </c>
      <c r="F57" s="44">
        <v>0.254521593416621</v>
      </c>
      <c r="G57" s="44">
        <v>0.227324333547007</v>
      </c>
      <c r="H57" s="44">
        <v>0.226504729369456</v>
      </c>
      <c r="I57" s="44">
        <v>0.209826177277904</v>
      </c>
      <c r="J57" s="44">
        <v>0.200391078690214</v>
      </c>
      <c r="L57" s="45" t="s">
        <v>48</v>
      </c>
      <c r="M57" s="44">
        <f t="shared" si="1"/>
        <v>0.061928789006295</v>
      </c>
      <c r="N57" s="44">
        <f t="shared" si="2"/>
        <v>0.076554384618547</v>
      </c>
      <c r="O57" s="44">
        <f t="shared" si="3"/>
        <v>0.094845217622064</v>
      </c>
      <c r="P57" s="44">
        <f t="shared" si="4"/>
        <v>0.03183548189073</v>
      </c>
      <c r="Q57" s="44">
        <f t="shared" si="5"/>
        <v>0.033161398187924</v>
      </c>
      <c r="R57" s="44">
        <f t="shared" si="6"/>
        <v>0.022036212753521</v>
      </c>
      <c r="S57" s="44">
        <f t="shared" si="7"/>
        <v>0.029844321687352</v>
      </c>
      <c r="T57" s="44">
        <f t="shared" si="8"/>
        <v>0.032680371158468</v>
      </c>
    </row>
    <row r="58" spans="1:20">
      <c r="B58" s="45" t="s">
        <v>49</v>
      </c>
      <c r="C58" s="44">
        <v>0.325069784430616</v>
      </c>
      <c r="D58" s="44">
        <v>0.307706055338023</v>
      </c>
      <c r="E58" s="44">
        <v>0.348316083849224</v>
      </c>
      <c r="F58" s="44">
        <v>0.260271071757095</v>
      </c>
      <c r="G58" s="44">
        <v>0.186620795107034</v>
      </c>
      <c r="H58" s="44">
        <v>0.199048691075038</v>
      </c>
      <c r="I58" s="44">
        <v>0.168642017720903</v>
      </c>
      <c r="J58" s="44">
        <v>0.151949110376768</v>
      </c>
      <c r="L58" s="45" t="s">
        <v>49</v>
      </c>
      <c r="M58" s="44">
        <f t="shared" si="1"/>
        <v>0.054392202462533</v>
      </c>
      <c r="N58" s="44">
        <f t="shared" si="2"/>
        <v>0.051377312746304</v>
      </c>
      <c r="O58" s="44">
        <f t="shared" si="3"/>
        <v>0.018443004995579</v>
      </c>
      <c r="P58" s="44">
        <f t="shared" si="4"/>
        <v>0.022055863247119</v>
      </c>
      <c r="Q58" s="44">
        <f t="shared" si="5"/>
        <v>0.069213670857401</v>
      </c>
      <c r="R58" s="44">
        <f t="shared" si="6"/>
        <v>0.046451187445619</v>
      </c>
      <c r="S58" s="44">
        <f t="shared" si="7"/>
        <v>0.055561221568543</v>
      </c>
      <c r="T58" s="44">
        <f t="shared" si="8"/>
        <v>0.058188332266297</v>
      </c>
    </row>
    <row r="59" spans="1:20">
      <c r="B59" s="45" t="s">
        <v>50</v>
      </c>
      <c r="C59" s="44">
        <v>0.531499012642117</v>
      </c>
      <c r="D59" s="44">
        <v>0.57472448833548</v>
      </c>
      <c r="E59" s="44">
        <v>0.635524135645642</v>
      </c>
      <c r="F59" s="44">
        <v>0.3985273414638</v>
      </c>
      <c r="G59" s="44">
        <v>0.330896846674623</v>
      </c>
      <c r="H59" s="44">
        <v>0.295017749293241</v>
      </c>
      <c r="I59" s="44">
        <v>0.249599626317897</v>
      </c>
      <c r="J59" s="44">
        <v>0.234241263234821</v>
      </c>
      <c r="L59" s="45" t="s">
        <v>50</v>
      </c>
      <c r="M59" s="44">
        <f t="shared" si="1"/>
        <v>-0.0792169366319609</v>
      </c>
      <c r="N59" s="44">
        <f t="shared" si="2"/>
        <v>-0.0951195076570769</v>
      </c>
      <c r="O59" s="44">
        <f t="shared" si="3"/>
        <v>-0.153286203468463</v>
      </c>
      <c r="P59" s="44">
        <f t="shared" si="4"/>
        <v>0.00726284819437201</v>
      </c>
      <c r="Q59" s="44">
        <f t="shared" si="5"/>
        <v>0.074295499344267</v>
      </c>
      <c r="R59" s="44">
        <f t="shared" si="6"/>
        <v>0.087907189668465</v>
      </c>
      <c r="S59" s="44">
        <f t="shared" si="7"/>
        <v>0.10590300947551</v>
      </c>
      <c r="T59" s="44">
        <f t="shared" si="8"/>
        <v>0.117528183708605</v>
      </c>
    </row>
    <row r="60" spans="1:20">
      <c r="B60" s="45" t="s">
        <v>51</v>
      </c>
      <c r="C60" s="44">
        <v>0.469246280574816</v>
      </c>
      <c r="D60" s="44">
        <v>0.561964626087896</v>
      </c>
      <c r="E60" s="44">
        <v>0.59630968477791</v>
      </c>
      <c r="F60" s="44">
        <v>0.400654566584632</v>
      </c>
      <c r="G60" s="44">
        <v>0.320798705683621</v>
      </c>
      <c r="H60" s="44">
        <v>0.271610802879545</v>
      </c>
      <c r="I60" s="44">
        <v>0.254317159961181</v>
      </c>
      <c r="J60" s="44">
        <v>0.220306186059611</v>
      </c>
      <c r="L60" s="45" t="s">
        <v>51</v>
      </c>
      <c r="M60" s="44">
        <f t="shared" si="1"/>
        <v>-0.02832913175388</v>
      </c>
      <c r="N60" s="44">
        <f t="shared" si="2"/>
        <v>-0.085830272569108</v>
      </c>
      <c r="O60" s="44">
        <f t="shared" si="3"/>
        <v>-0.115103893595298</v>
      </c>
      <c r="P60" s="44">
        <f t="shared" si="4"/>
        <v>0.01859191277003</v>
      </c>
      <c r="Q60" s="44">
        <f t="shared" si="5"/>
        <v>0.05742169139606</v>
      </c>
      <c r="R60" s="44">
        <f t="shared" si="6"/>
        <v>0.075701774496767</v>
      </c>
      <c r="S60" s="44">
        <f t="shared" si="7"/>
        <v>0.075396580196252</v>
      </c>
      <c r="T60" s="44">
        <f t="shared" si="8"/>
        <v>0.093998107696738</v>
      </c>
    </row>
    <row r="61" spans="1:20">
      <c r="B61" s="45" t="s">
        <v>52</v>
      </c>
      <c r="C61" s="44">
        <v>0.558215280001971</v>
      </c>
      <c r="D61" s="44">
        <v>0.612655161973963</v>
      </c>
      <c r="E61" s="44">
        <v>0.676799511025795</v>
      </c>
      <c r="F61" s="44">
        <v>0.402839369302784</v>
      </c>
      <c r="G61" s="44">
        <v>0.341080413644081</v>
      </c>
      <c r="H61" s="44">
        <v>0.281521499086286</v>
      </c>
      <c r="I61" s="44">
        <v>0.255460017279303</v>
      </c>
      <c r="J61" s="44">
        <v>0.222951744032176</v>
      </c>
      <c r="L61" s="45" t="s">
        <v>52</v>
      </c>
      <c r="M61" s="44">
        <f t="shared" si="1"/>
        <v>-0.097854098401045</v>
      </c>
      <c r="N61" s="44">
        <f t="shared" si="2"/>
        <v>-0.135013623978202</v>
      </c>
      <c r="O61" s="44">
        <f t="shared" si="3"/>
        <v>-0.167594953633403</v>
      </c>
      <c r="P61" s="44">
        <f t="shared" si="4"/>
        <v>-0.010879702952874</v>
      </c>
      <c r="Q61" s="44">
        <f t="shared" si="5"/>
        <v>0.020121711904394</v>
      </c>
      <c r="R61" s="44">
        <f t="shared" si="6"/>
        <v>0.070076779951773</v>
      </c>
      <c r="S61" s="44">
        <f t="shared" si="7"/>
        <v>0.075148264273392</v>
      </c>
      <c r="T61" s="44">
        <f t="shared" si="8"/>
        <v>0.084582132717994</v>
      </c>
    </row>
    <row r="62" spans="1:20">
      <c r="B62" s="45" t="s">
        <v>53</v>
      </c>
      <c r="C62" s="44">
        <v>0.493657938172721</v>
      </c>
      <c r="D62" s="44">
        <v>0.589182756427355</v>
      </c>
      <c r="E62" s="44">
        <v>0.64963696369637</v>
      </c>
      <c r="F62" s="44">
        <v>0.39919957676947</v>
      </c>
      <c r="G62" s="44">
        <v>0.292944630023282</v>
      </c>
      <c r="H62" s="44">
        <v>0.251455525616203</v>
      </c>
      <c r="I62" s="44">
        <v>0.22972258673733</v>
      </c>
      <c r="J62" s="44">
        <v>0.226097133582165</v>
      </c>
      <c r="L62" s="45" t="s">
        <v>53</v>
      </c>
      <c r="M62" s="44">
        <f t="shared" si="1"/>
        <v>-0.034860328002532</v>
      </c>
      <c r="N62" s="44">
        <f t="shared" si="2"/>
        <v>-0.119785789030921</v>
      </c>
      <c r="O62" s="44">
        <f t="shared" si="3"/>
        <v>-0.175511551155116</v>
      </c>
      <c r="P62" s="44">
        <f t="shared" si="4"/>
        <v>0.01769241729165</v>
      </c>
      <c r="Q62" s="44">
        <f t="shared" si="5"/>
        <v>0.082650065796133</v>
      </c>
      <c r="R62" s="44">
        <f t="shared" si="6"/>
        <v>0.098290820536879</v>
      </c>
      <c r="S62" s="44">
        <f t="shared" si="7"/>
        <v>0.107760997651467</v>
      </c>
      <c r="T62" s="44">
        <f t="shared" si="8"/>
        <v>0.105622082903672</v>
      </c>
    </row>
    <row r="63" spans="1:20">
      <c r="B63" s="45" t="s">
        <v>54</v>
      </c>
      <c r="C63" s="44">
        <v>0.413389097849885</v>
      </c>
      <c r="D63" s="44">
        <v>0.486706070536829</v>
      </c>
      <c r="E63" s="44">
        <v>0.518354506740785</v>
      </c>
      <c r="F63" s="44">
        <v>0.24166002227134</v>
      </c>
      <c r="G63" s="44">
        <v>0.210021051530486</v>
      </c>
      <c r="H63" s="44">
        <v>0.19120599201846</v>
      </c>
      <c r="I63" s="44">
        <v>0.187216491331228</v>
      </c>
      <c r="J63" s="44"/>
      <c r="L63" s="45" t="s">
        <v>54</v>
      </c>
      <c r="M63" s="44">
        <f t="shared" si="1"/>
        <v>-0.099481651977021</v>
      </c>
      <c r="N63" s="44">
        <f t="shared" si="2"/>
        <v>-0.16502808988764</v>
      </c>
      <c r="O63" s="44">
        <f t="shared" si="3"/>
        <v>-0.225148616020293</v>
      </c>
      <c r="P63" s="44">
        <f t="shared" si="4"/>
        <v>0.051546630198188</v>
      </c>
      <c r="Q63" s="44">
        <f t="shared" si="5"/>
        <v>0.092105022293701</v>
      </c>
      <c r="R63" s="44">
        <f t="shared" si="6"/>
        <v>0.125779743652538</v>
      </c>
      <c r="S63" s="44">
        <f t="shared" si="7"/>
        <v>0.197587486631472</v>
      </c>
      <c r="T63" s="44"/>
    </row>
    <row r="64" spans="1:20">
      <c r="B64" s="45" t="s">
        <v>55</v>
      </c>
      <c r="C64" s="44">
        <v>0.417379423225712</v>
      </c>
      <c r="D64" s="44">
        <v>0.467515115661129</v>
      </c>
      <c r="E64" s="44">
        <v>0.522066846086704</v>
      </c>
      <c r="F64" s="44">
        <v>0.329891479381082</v>
      </c>
      <c r="G64" s="44">
        <v>0.258378466356488</v>
      </c>
      <c r="H64" s="44">
        <v>0.187354570942888</v>
      </c>
      <c r="I64" s="44"/>
      <c r="J64" s="44"/>
      <c r="L64" s="45" t="s">
        <v>55</v>
      </c>
      <c r="M64" s="44">
        <f t="shared" si="1"/>
        <v>-0.047791414938374</v>
      </c>
      <c r="N64" s="44">
        <f t="shared" si="2"/>
        <v>-0.101991858098285</v>
      </c>
      <c r="O64" s="44">
        <f t="shared" si="3"/>
        <v>-0.13167066724857</v>
      </c>
      <c r="P64" s="44">
        <f t="shared" si="4"/>
        <v>0.00808233564377303</v>
      </c>
      <c r="Q64" s="44">
        <f t="shared" si="5"/>
        <v>0.045085879022919</v>
      </c>
      <c r="R64" s="44">
        <f t="shared" si="6"/>
        <v>0.100385603167244</v>
      </c>
      <c r="S64" s="44"/>
      <c r="T64" s="44"/>
    </row>
    <row r="65" spans="2:20">
      <c r="B65" s="45" t="s">
        <v>56</v>
      </c>
      <c r="C65" s="44">
        <v>0.257608685930974</v>
      </c>
      <c r="D65" s="44">
        <v>0.277111827187015</v>
      </c>
      <c r="E65" s="44">
        <v>0.274616269932068</v>
      </c>
      <c r="F65" s="44">
        <v>0.240798004877164</v>
      </c>
      <c r="G65" s="44">
        <v>0.169571828547572</v>
      </c>
      <c r="H65" s="44"/>
      <c r="I65" s="44"/>
      <c r="J65" s="44"/>
      <c r="L65" s="45" t="s">
        <v>56</v>
      </c>
      <c r="M65" s="44">
        <f t="shared" si="1"/>
        <v>-0.00157554726790904</v>
      </c>
      <c r="N65" s="44">
        <f t="shared" si="2"/>
        <v>-0.022222222222222</v>
      </c>
      <c r="O65" s="44">
        <f t="shared" si="3"/>
        <v>-0.016559245385856</v>
      </c>
      <c r="P65" s="44">
        <f t="shared" si="4"/>
        <v>0.03091400347863</v>
      </c>
      <c r="Q65" s="44">
        <f t="shared" si="5"/>
        <v>0.054663771080138</v>
      </c>
      <c r="R65" s="44"/>
      <c r="S65" s="44"/>
      <c r="T65" s="44"/>
    </row>
    <row r="66" spans="2:20">
      <c r="B66" s="45" t="s">
        <v>57</v>
      </c>
      <c r="C66" s="44">
        <v>0.270918526735905</v>
      </c>
      <c r="D66" s="44">
        <v>0.26633827212423</v>
      </c>
      <c r="E66" s="44">
        <v>0.255701091798507</v>
      </c>
      <c r="F66" s="44">
        <v>0.224601075553205</v>
      </c>
      <c r="G66" s="44"/>
      <c r="H66" s="44"/>
      <c r="I66" s="44"/>
      <c r="J66" s="44"/>
      <c r="L66" s="45" t="s">
        <v>57</v>
      </c>
      <c r="M66" s="44">
        <f t="shared" si="1"/>
        <v>-0.022897181365517</v>
      </c>
      <c r="N66" s="44">
        <f t="shared" si="2"/>
        <v>-0.028075141430752</v>
      </c>
      <c r="O66" s="44">
        <f t="shared" si="3"/>
        <v>-0.023151145567601</v>
      </c>
      <c r="P66" s="44">
        <f t="shared" si="4"/>
        <v>-0.00655470334126798</v>
      </c>
      <c r="Q66" s="44"/>
      <c r="R66" s="44"/>
      <c r="S66" s="44"/>
      <c r="T66" s="44"/>
    </row>
    <row r="67" spans="2:20">
      <c r="B67" s="45" t="s">
        <v>58</v>
      </c>
      <c r="C67" s="44">
        <v>0.255472084845522</v>
      </c>
      <c r="D67" s="44">
        <v>0.278946547091325</v>
      </c>
      <c r="E67" s="44">
        <v>0.282362429646892</v>
      </c>
      <c r="F67" s="44"/>
      <c r="G67" s="44"/>
      <c r="H67" s="44"/>
      <c r="I67" s="44"/>
      <c r="J67" s="44"/>
      <c r="L67" s="45" t="s">
        <v>58</v>
      </c>
      <c r="M67" s="44">
        <f t="shared" si="1"/>
        <v>0.027728050546268</v>
      </c>
      <c r="N67" s="44">
        <f t="shared" si="2"/>
        <v>0.023407897239331</v>
      </c>
      <c r="O67" s="44">
        <f t="shared" si="3"/>
        <v>0.065988986980463</v>
      </c>
      <c r="P67" s="44"/>
      <c r="Q67" s="44"/>
      <c r="R67" s="44"/>
      <c r="S67" s="44"/>
      <c r="T67" s="44"/>
    </row>
  </sheetData>
  <mergeCells count="2">
    <mergeCell ref="C3:J3"/>
    <mergeCell ref="K3:R3"/>
  </mergeCells>
  <conditionalFormatting sqref="C37:J5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:J6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4:T6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{e5728b1f-1df8-4f31-80ba-7c852caa19c6}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728b1f-1df8-4f31-80ba-7c852caa1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M54:T67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E16" sqref="E16"/>
    </sheetView>
  </sheetViews>
  <sheetFormatPr defaultColWidth="11" defaultRowHeight="17.6" outlineLevelCol="6"/>
  <cols>
    <col min="2" max="2" width="22.9083333333333" customWidth="1"/>
    <col min="5" max="5" width="38.8333333333333" customWidth="1"/>
  </cols>
  <sheetData>
    <row r="1" spans="1:4">
      <c r="A1" t="s">
        <v>62</v>
      </c>
    </row>
    <row r="2" spans="1:4">
      <c r="B2" s="35" t="s">
        <v>63</v>
      </c>
      <c r="C2" s="36" t="s">
        <v>64</v>
      </c>
      <c r="D2" s="36" t="s">
        <v>65</v>
      </c>
    </row>
    <row r="3" spans="1:4">
      <c r="B3" s="37" t="s">
        <v>66</v>
      </c>
      <c r="C3" s="38">
        <v>0.2347</v>
      </c>
      <c r="D3" s="39">
        <v>9</v>
      </c>
    </row>
    <row r="4" spans="1:4">
      <c r="B4" s="37" t="s">
        <v>67</v>
      </c>
      <c r="C4" s="38">
        <v>0.1891</v>
      </c>
      <c r="D4" s="39">
        <v>8</v>
      </c>
    </row>
    <row r="5" spans="1:4">
      <c r="B5" s="37" t="s">
        <v>68</v>
      </c>
      <c r="C5" s="38">
        <v>0.0634</v>
      </c>
      <c r="D5" s="39">
        <v>1</v>
      </c>
    </row>
    <row r="6" spans="1:4">
      <c r="B6" s="37" t="s">
        <v>69</v>
      </c>
      <c r="C6" s="38">
        <v>0.0613</v>
      </c>
      <c r="D6" s="39">
        <v>1</v>
      </c>
    </row>
    <row r="7" spans="1:4">
      <c r="B7" s="37" t="s">
        <v>70</v>
      </c>
      <c r="C7" s="38">
        <v>0.0587</v>
      </c>
      <c r="D7" s="39">
        <v>1</v>
      </c>
    </row>
    <row r="8" spans="1:4">
      <c r="B8" s="37" t="s">
        <v>71</v>
      </c>
      <c r="C8" s="38">
        <v>0.0552</v>
      </c>
      <c r="D8" s="39">
        <v>2</v>
      </c>
    </row>
    <row r="9" spans="1:4">
      <c r="B9" s="37" t="s">
        <v>72</v>
      </c>
      <c r="C9" s="38">
        <v>0.0525</v>
      </c>
      <c r="D9" s="39">
        <v>1</v>
      </c>
    </row>
    <row r="10" spans="1:4">
      <c r="B10" s="37" t="s">
        <v>73</v>
      </c>
      <c r="C10" s="38">
        <v>0.0523</v>
      </c>
      <c r="D10" s="39">
        <v>2</v>
      </c>
    </row>
    <row r="11" spans="1:4">
      <c r="B11" s="37" t="s">
        <v>74</v>
      </c>
      <c r="C11" s="38">
        <v>0.0474</v>
      </c>
      <c r="D11" s="39">
        <v>1</v>
      </c>
    </row>
    <row r="12" spans="1:4">
      <c r="B12" s="37" t="s">
        <v>75</v>
      </c>
      <c r="C12" s="38">
        <v>0.039</v>
      </c>
      <c r="D12" s="39">
        <v>1</v>
      </c>
    </row>
    <row r="13" spans="1:4">
      <c r="B13" s="37" t="s">
        <v>76</v>
      </c>
      <c r="C13" s="38">
        <v>0.0382</v>
      </c>
      <c r="D13" s="39">
        <v>1</v>
      </c>
    </row>
    <row r="14" spans="1:4">
      <c r="B14" s="37" t="s">
        <v>77</v>
      </c>
      <c r="C14" s="38">
        <v>0.0364</v>
      </c>
      <c r="D14" s="39">
        <v>1</v>
      </c>
    </row>
    <row r="15" spans="1:4">
      <c r="B15" s="37" t="s">
        <v>78</v>
      </c>
      <c r="C15" s="38">
        <v>0.0363</v>
      </c>
      <c r="D15" s="39">
        <v>1</v>
      </c>
    </row>
    <row r="16" spans="1:4">
      <c r="B16" s="37" t="s">
        <v>79</v>
      </c>
      <c r="C16" s="38">
        <v>0.0355</v>
      </c>
      <c r="D16" s="39">
        <v>1</v>
      </c>
    </row>
    <row r="17" spans="1:7">
      <c r="B17" s="37" t="s">
        <v>80</v>
      </c>
      <c r="C17" s="38">
        <v>1</v>
      </c>
      <c r="D17" s="39">
        <v>31</v>
      </c>
    </row>
    <row r="19" spans="1:7">
      <c r="A19" t="s">
        <v>81</v>
      </c>
    </row>
    <row r="20" spans="1:7">
      <c r="B20" s="40" t="s">
        <v>82</v>
      </c>
      <c r="C20" s="41" t="s">
        <v>83</v>
      </c>
      <c r="D20" s="41" t="s">
        <v>84</v>
      </c>
      <c r="E20" s="41" t="s">
        <v>6</v>
      </c>
      <c r="F20" s="41" t="s">
        <v>63</v>
      </c>
      <c r="G20" s="41" t="s">
        <v>85</v>
      </c>
    </row>
    <row r="21" spans="1:7">
      <c r="B21" s="42" t="s">
        <v>86</v>
      </c>
      <c r="C21" s="43">
        <v>19.3822765350342</v>
      </c>
      <c r="D21" s="44">
        <v>0.063366063190966</v>
      </c>
      <c r="E21" s="42" t="s">
        <v>87</v>
      </c>
      <c r="F21" s="42" t="s">
        <v>68</v>
      </c>
      <c r="G21" s="42" t="s">
        <v>88</v>
      </c>
    </row>
    <row r="22" spans="1:7">
      <c r="B22" s="42" t="s">
        <v>89</v>
      </c>
      <c r="C22" s="43">
        <v>18.7611255645752</v>
      </c>
      <c r="D22" s="44">
        <v>0.0613353475743516</v>
      </c>
      <c r="E22" s="42" t="s">
        <v>90</v>
      </c>
      <c r="F22" s="42" t="s">
        <v>69</v>
      </c>
      <c r="G22" s="42" t="s">
        <v>91</v>
      </c>
    </row>
    <row r="23" spans="1:7">
      <c r="B23" s="42" t="s">
        <v>92</v>
      </c>
      <c r="C23" s="43">
        <v>17.9472045898438</v>
      </c>
      <c r="D23" s="44">
        <v>0.0586744130951607</v>
      </c>
      <c r="E23" s="42" t="s">
        <v>93</v>
      </c>
      <c r="F23" s="42" t="s">
        <v>70</v>
      </c>
      <c r="G23" s="42" t="s">
        <v>94</v>
      </c>
    </row>
    <row r="24" spans="1:7">
      <c r="B24" s="42" t="s">
        <v>95</v>
      </c>
      <c r="C24" s="43">
        <v>16.0564002990723</v>
      </c>
      <c r="D24" s="44">
        <v>0.0524928469641538</v>
      </c>
      <c r="E24" s="42" t="s">
        <v>96</v>
      </c>
      <c r="F24" s="42" t="s">
        <v>72</v>
      </c>
      <c r="G24" s="42" t="s">
        <v>95</v>
      </c>
    </row>
    <row r="25" spans="1:7">
      <c r="B25" s="42" t="s">
        <v>97</v>
      </c>
      <c r="C25" s="43">
        <v>14.5109949111938</v>
      </c>
      <c r="D25" s="44">
        <v>0.0474404860979286</v>
      </c>
      <c r="E25" s="42" t="s">
        <v>98</v>
      </c>
      <c r="F25" s="42" t="s">
        <v>74</v>
      </c>
      <c r="G25" s="42" t="s">
        <v>99</v>
      </c>
    </row>
    <row r="26" spans="1:7">
      <c r="B26" s="42" t="s">
        <v>100</v>
      </c>
      <c r="C26" s="43">
        <v>12.2380228042603</v>
      </c>
      <c r="D26" s="44">
        <v>0.0400095068783864</v>
      </c>
      <c r="E26" s="42" t="s">
        <v>101</v>
      </c>
      <c r="F26" s="42" t="s">
        <v>66</v>
      </c>
      <c r="G26" s="42" t="s">
        <v>102</v>
      </c>
    </row>
    <row r="27" spans="1:7">
      <c r="B27" s="42" t="s">
        <v>103</v>
      </c>
      <c r="C27" s="43">
        <v>11.9302177429199</v>
      </c>
      <c r="D27" s="44">
        <v>0.0390032063577982</v>
      </c>
      <c r="E27" s="42" t="s">
        <v>104</v>
      </c>
      <c r="F27" s="42" t="s">
        <v>75</v>
      </c>
      <c r="G27" s="42" t="s">
        <v>105</v>
      </c>
    </row>
    <row r="28" spans="1:7">
      <c r="B28" s="42" t="s">
        <v>106</v>
      </c>
      <c r="C28" s="43">
        <v>11.6765327453613</v>
      </c>
      <c r="D28" s="44">
        <v>0.0381738394071801</v>
      </c>
      <c r="E28" s="42" t="s">
        <v>107</v>
      </c>
      <c r="F28" s="42" t="s">
        <v>76</v>
      </c>
      <c r="G28" s="42" t="s">
        <v>108</v>
      </c>
    </row>
    <row r="29" spans="1:7">
      <c r="B29" s="42" t="s">
        <v>109</v>
      </c>
      <c r="C29" s="43">
        <v>11.2788782119751</v>
      </c>
      <c r="D29" s="44">
        <v>0.0368737959244045</v>
      </c>
      <c r="E29" s="42" t="s">
        <v>110</v>
      </c>
      <c r="F29" s="42" t="s">
        <v>66</v>
      </c>
      <c r="G29" s="42" t="s">
        <v>111</v>
      </c>
    </row>
    <row r="30" spans="1:7">
      <c r="B30" s="42" t="s">
        <v>112</v>
      </c>
      <c r="C30" s="43">
        <v>11.1391496658325</v>
      </c>
      <c r="D30" s="44">
        <v>0.0364169843693506</v>
      </c>
      <c r="E30" s="42" t="s">
        <v>113</v>
      </c>
      <c r="F30" s="42" t="s">
        <v>77</v>
      </c>
      <c r="G30" s="42" t="s">
        <v>112</v>
      </c>
    </row>
    <row r="31" spans="1:7">
      <c r="B31" s="42" t="s">
        <v>114</v>
      </c>
      <c r="C31" s="43">
        <v>11.0963191986084</v>
      </c>
      <c r="D31" s="44">
        <v>0.0362769596365636</v>
      </c>
      <c r="E31" s="42" t="s">
        <v>115</v>
      </c>
      <c r="F31" s="42" t="s">
        <v>78</v>
      </c>
      <c r="G31" s="42" t="s">
        <v>116</v>
      </c>
    </row>
    <row r="32" spans="1:7">
      <c r="B32" s="42" t="s">
        <v>117</v>
      </c>
      <c r="C32" s="43">
        <v>10.8551902770996</v>
      </c>
      <c r="D32" s="44">
        <v>0.0354886419975145</v>
      </c>
      <c r="E32" s="42" t="s">
        <v>118</v>
      </c>
      <c r="F32" s="42" t="s">
        <v>79</v>
      </c>
      <c r="G32" s="42" t="s">
        <v>117</v>
      </c>
    </row>
    <row r="33" spans="2:7">
      <c r="B33" s="42" t="s">
        <v>119</v>
      </c>
      <c r="C33" s="43">
        <v>9.68734455108643</v>
      </c>
      <c r="D33" s="44">
        <v>0.0316706288792882</v>
      </c>
      <c r="E33" s="42" t="s">
        <v>120</v>
      </c>
      <c r="F33" s="42" t="s">
        <v>73</v>
      </c>
      <c r="G33" s="42" t="s">
        <v>121</v>
      </c>
    </row>
    <row r="34" spans="2:7">
      <c r="B34" s="42" t="s">
        <v>122</v>
      </c>
      <c r="C34" s="43">
        <v>9.53805828094482</v>
      </c>
      <c r="D34" s="44">
        <v>0.0311825704610607</v>
      </c>
      <c r="E34" s="42" t="s">
        <v>123</v>
      </c>
      <c r="F34" s="42" t="s">
        <v>71</v>
      </c>
      <c r="G34" s="42" t="s">
        <v>124</v>
      </c>
    </row>
    <row r="35" spans="2:7">
      <c r="B35" s="42" t="s">
        <v>125</v>
      </c>
      <c r="C35" s="43">
        <v>9.3581018447876</v>
      </c>
      <c r="D35" s="44">
        <v>0.0305942427233696</v>
      </c>
      <c r="E35" s="42" t="s">
        <v>126</v>
      </c>
      <c r="F35" s="42" t="s">
        <v>66</v>
      </c>
      <c r="G35" s="42" t="s">
        <v>127</v>
      </c>
    </row>
    <row r="36" spans="2:7">
      <c r="B36" s="42" t="s">
        <v>128</v>
      </c>
      <c r="C36" s="43">
        <v>8.89813327789307</v>
      </c>
      <c r="D36" s="44">
        <v>0.0290904773001999</v>
      </c>
      <c r="E36" s="42" t="s">
        <v>129</v>
      </c>
      <c r="F36" s="42" t="s">
        <v>67</v>
      </c>
      <c r="G36" s="42" t="s">
        <v>130</v>
      </c>
    </row>
    <row r="37" spans="2:7">
      <c r="B37" s="42" t="s">
        <v>131</v>
      </c>
      <c r="C37" s="43">
        <v>8.7616548538208</v>
      </c>
      <c r="D37" s="44">
        <v>0.0286442912998952</v>
      </c>
      <c r="E37" s="42" t="s">
        <v>132</v>
      </c>
      <c r="F37" s="42" t="s">
        <v>67</v>
      </c>
      <c r="G37" s="42" t="s">
        <v>133</v>
      </c>
    </row>
    <row r="38" spans="2:7">
      <c r="B38" s="42" t="s">
        <v>134</v>
      </c>
      <c r="C38" s="43">
        <v>7.54605865478516</v>
      </c>
      <c r="D38" s="44">
        <v>0.0246701685788846</v>
      </c>
      <c r="E38" s="42" t="s">
        <v>135</v>
      </c>
      <c r="F38" s="42" t="s">
        <v>67</v>
      </c>
      <c r="G38" s="42" t="s">
        <v>136</v>
      </c>
    </row>
    <row r="39" spans="2:7">
      <c r="B39" s="42" t="s">
        <v>137</v>
      </c>
      <c r="C39" s="43">
        <v>7.33303499221802</v>
      </c>
      <c r="D39" s="44">
        <v>0.0239737348633197</v>
      </c>
      <c r="E39" s="42" t="s">
        <v>138</v>
      </c>
      <c r="F39" s="42" t="s">
        <v>71</v>
      </c>
      <c r="G39" s="42" t="s">
        <v>139</v>
      </c>
    </row>
    <row r="40" spans="2:7">
      <c r="B40" s="42" t="s">
        <v>140</v>
      </c>
      <c r="C40" s="43">
        <v>7.22265768051147</v>
      </c>
      <c r="D40" s="44">
        <v>0.0236128806728533</v>
      </c>
      <c r="E40" s="42" t="s">
        <v>141</v>
      </c>
      <c r="F40" s="42" t="s">
        <v>67</v>
      </c>
      <c r="G40" s="42" t="s">
        <v>142</v>
      </c>
    </row>
    <row r="41" spans="2:7">
      <c r="B41" s="42" t="s">
        <v>143</v>
      </c>
      <c r="C41" s="43">
        <v>7.04409551620483</v>
      </c>
      <c r="D41" s="44">
        <v>0.0230291111983791</v>
      </c>
      <c r="E41" s="42" t="s">
        <v>144</v>
      </c>
      <c r="F41" s="42" t="s">
        <v>66</v>
      </c>
      <c r="G41" s="42" t="s">
        <v>145</v>
      </c>
    </row>
    <row r="42" spans="2:7">
      <c r="B42" s="42" t="s">
        <v>146</v>
      </c>
      <c r="C42" s="43">
        <v>6.81591129302979</v>
      </c>
      <c r="D42" s="44">
        <v>0.0222831133854413</v>
      </c>
      <c r="E42" s="42" t="s">
        <v>147</v>
      </c>
      <c r="F42" s="42" t="s">
        <v>67</v>
      </c>
      <c r="G42" s="42" t="s">
        <v>148</v>
      </c>
    </row>
  </sheetData>
  <conditionalFormatting sqref="D21:D4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{4d62da62-d10c-446a-a154-59200cc2481f}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62da62-d10c-446a-a154-59200cc2481f}">
            <x14:dataBar minLength="10" maxLength="90" border="1" negativeBarBorderColorSameAsPositive="0" negativeBarColorSameAsPositive="1" axisPosition="none">
              <x14:cfvo type="min"/>
              <x14:cfvo type="max"/>
              <x14:borderColor rgb="FF63C384"/>
              <x14:negativeBorderColor rgb="FF638EC6"/>
              <x14:axisColor indexed="65"/>
            </x14:dataBar>
          </x14:cfRule>
          <xm:sqref>D21:D42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tabSelected="1" workbookViewId="0">
      <selection activeCell="N16" sqref="N16"/>
    </sheetView>
  </sheetViews>
  <sheetFormatPr defaultColWidth="11" defaultRowHeight="17.6"/>
  <cols>
    <col min="1" max="1" width="10.8333333333333" style="1"/>
    <col min="6" max="6" width="8.5" customWidth="1"/>
  </cols>
  <sheetData>
    <row r="1" spans="1:12">
      <c r="A1" s="1" t="s">
        <v>149</v>
      </c>
    </row>
    <row r="2" spans="1:12">
      <c r="B2" t="s">
        <v>150</v>
      </c>
      <c r="H2" t="s">
        <v>151</v>
      </c>
    </row>
    <row r="3" spans="1:12">
      <c r="A3" s="1" t="s">
        <v>59</v>
      </c>
      <c r="C3" s="16" t="s">
        <v>152</v>
      </c>
      <c r="D3" s="16" t="s">
        <v>153</v>
      </c>
      <c r="E3" s="17" t="s">
        <v>26</v>
      </c>
      <c r="F3" t="s">
        <v>154</v>
      </c>
      <c r="I3" s="16" t="s">
        <v>152</v>
      </c>
      <c r="J3" s="16" t="s">
        <v>153</v>
      </c>
      <c r="K3" s="17" t="s">
        <v>26</v>
      </c>
      <c r="L3" t="s">
        <v>154</v>
      </c>
    </row>
    <row r="4" spans="1:12">
      <c r="B4" s="16" t="s">
        <v>155</v>
      </c>
      <c r="C4" s="18">
        <v>20167</v>
      </c>
      <c r="D4" s="18">
        <v>1367</v>
      </c>
      <c r="E4" s="17">
        <f>D4/C4</f>
        <v>0.0677840035701889</v>
      </c>
      <c r="F4" s="19">
        <f>E4/E$14</f>
        <v>3.00582716903144</v>
      </c>
      <c r="H4" s="16" t="s">
        <v>155</v>
      </c>
      <c r="I4" s="18">
        <v>20167</v>
      </c>
      <c r="J4" s="18">
        <v>1367</v>
      </c>
      <c r="K4" s="17">
        <f>J4/I4</f>
        <v>0.0677840035701889</v>
      </c>
      <c r="L4" s="19">
        <f>K4/K$14</f>
        <v>3.00582716903144</v>
      </c>
    </row>
    <row r="5" spans="1:12">
      <c r="B5" s="16" t="s">
        <v>156</v>
      </c>
      <c r="C5" s="18">
        <v>20360</v>
      </c>
      <c r="D5" s="18">
        <v>863</v>
      </c>
      <c r="E5" s="17">
        <f t="shared" ref="E5:E14" si="0">D5/C5</f>
        <v>0.0423870333988212</v>
      </c>
      <c r="F5" s="19">
        <f t="shared" ref="F5:F13" si="1">E5/E$14</f>
        <v>1.87961893506175</v>
      </c>
      <c r="H5" s="16" t="s">
        <v>156</v>
      </c>
      <c r="I5" s="18">
        <v>20360</v>
      </c>
      <c r="J5" s="18">
        <v>863</v>
      </c>
      <c r="K5" s="17">
        <f t="shared" ref="K5:K14" si="2">J5/I5</f>
        <v>0.0423870333988212</v>
      </c>
      <c r="L5" s="19">
        <f t="shared" ref="L5:L13" si="3">K5/K$14</f>
        <v>1.87961893506175</v>
      </c>
    </row>
    <row r="6" spans="1:12">
      <c r="B6" s="16" t="s">
        <v>157</v>
      </c>
      <c r="C6" s="18">
        <v>19495</v>
      </c>
      <c r="D6" s="18">
        <v>612</v>
      </c>
      <c r="E6" s="17">
        <f t="shared" si="0"/>
        <v>0.0313926647858425</v>
      </c>
      <c r="F6" s="19">
        <f t="shared" si="1"/>
        <v>1.3920824936797</v>
      </c>
      <c r="H6" s="16" t="s">
        <v>157</v>
      </c>
      <c r="I6" s="18">
        <v>19495</v>
      </c>
      <c r="J6" s="18">
        <v>612</v>
      </c>
      <c r="K6" s="17">
        <f t="shared" si="2"/>
        <v>0.0313926647858425</v>
      </c>
      <c r="L6" s="19">
        <f t="shared" si="3"/>
        <v>1.3920824936797</v>
      </c>
    </row>
    <row r="7" spans="1:12">
      <c r="B7" s="16" t="s">
        <v>158</v>
      </c>
      <c r="C7" s="18">
        <v>20195</v>
      </c>
      <c r="D7" s="18">
        <v>497</v>
      </c>
      <c r="E7" s="17">
        <f t="shared" si="0"/>
        <v>0.0246100519930676</v>
      </c>
      <c r="F7" s="19">
        <f t="shared" si="1"/>
        <v>1.09131297969795</v>
      </c>
      <c r="H7" s="16" t="s">
        <v>158</v>
      </c>
      <c r="I7" s="18">
        <v>20195</v>
      </c>
      <c r="J7" s="18">
        <v>497</v>
      </c>
      <c r="K7" s="17">
        <f t="shared" si="2"/>
        <v>0.0246100519930676</v>
      </c>
      <c r="L7" s="19">
        <f t="shared" si="3"/>
        <v>1.09131297969795</v>
      </c>
    </row>
    <row r="8" spans="1:12">
      <c r="B8" s="16" t="s">
        <v>159</v>
      </c>
      <c r="C8" s="18">
        <v>19338</v>
      </c>
      <c r="D8" s="18">
        <v>396</v>
      </c>
      <c r="E8" s="17">
        <f t="shared" si="0"/>
        <v>0.0204778156996587</v>
      </c>
      <c r="F8" s="19">
        <f t="shared" si="1"/>
        <v>0.908072281813749</v>
      </c>
      <c r="H8" s="16" t="s">
        <v>159</v>
      </c>
      <c r="I8" s="18">
        <v>19338</v>
      </c>
      <c r="J8" s="18">
        <v>396</v>
      </c>
      <c r="K8" s="17">
        <f t="shared" si="2"/>
        <v>0.0204778156996587</v>
      </c>
      <c r="L8" s="19">
        <f t="shared" si="3"/>
        <v>0.908072281813749</v>
      </c>
    </row>
    <row r="9" spans="1:12">
      <c r="B9" s="16" t="s">
        <v>160</v>
      </c>
      <c r="C9" s="18">
        <v>20670</v>
      </c>
      <c r="D9" s="18">
        <v>330</v>
      </c>
      <c r="E9" s="17">
        <f t="shared" si="0"/>
        <v>0.0159651669085631</v>
      </c>
      <c r="F9" s="19">
        <f t="shared" si="1"/>
        <v>0.707962497408252</v>
      </c>
      <c r="H9" s="16" t="s">
        <v>160</v>
      </c>
      <c r="I9" s="18">
        <v>20670</v>
      </c>
      <c r="J9" s="18">
        <v>330</v>
      </c>
      <c r="K9" s="17">
        <f t="shared" si="2"/>
        <v>0.0159651669085631</v>
      </c>
      <c r="L9" s="19">
        <f t="shared" si="3"/>
        <v>0.707962497408252</v>
      </c>
    </row>
    <row r="10" spans="1:12">
      <c r="B10" s="16" t="s">
        <v>161</v>
      </c>
      <c r="C10" s="18">
        <v>19408</v>
      </c>
      <c r="D10" s="18">
        <v>189</v>
      </c>
      <c r="E10" s="17">
        <f t="shared" si="0"/>
        <v>0.00973825226710635</v>
      </c>
      <c r="F10" s="19">
        <f t="shared" si="1"/>
        <v>0.431834971403545</v>
      </c>
      <c r="H10" s="16" t="s">
        <v>161</v>
      </c>
      <c r="I10" s="18">
        <v>19408</v>
      </c>
      <c r="J10" s="18">
        <v>189</v>
      </c>
      <c r="K10" s="17">
        <f t="shared" si="2"/>
        <v>0.00973825226710635</v>
      </c>
      <c r="L10" s="19">
        <f t="shared" si="3"/>
        <v>0.431834971403545</v>
      </c>
    </row>
    <row r="11" spans="1:12">
      <c r="B11" s="16" t="s">
        <v>162</v>
      </c>
      <c r="C11" s="18">
        <v>19444</v>
      </c>
      <c r="D11" s="18">
        <v>131</v>
      </c>
      <c r="E11" s="17">
        <f t="shared" si="0"/>
        <v>0.00673729685249949</v>
      </c>
      <c r="F11" s="19">
        <f t="shared" si="1"/>
        <v>0.298760015024833</v>
      </c>
      <c r="H11" s="16" t="s">
        <v>162</v>
      </c>
      <c r="I11" s="18">
        <v>19444</v>
      </c>
      <c r="J11" s="18">
        <v>131</v>
      </c>
      <c r="K11" s="17">
        <f t="shared" si="2"/>
        <v>0.00673729685249949</v>
      </c>
      <c r="L11" s="19">
        <f t="shared" si="3"/>
        <v>0.298760015024833</v>
      </c>
    </row>
    <row r="12" spans="1:12">
      <c r="B12" s="16" t="s">
        <v>163</v>
      </c>
      <c r="C12" s="18">
        <v>20012</v>
      </c>
      <c r="D12" s="18">
        <v>70</v>
      </c>
      <c r="E12" s="17">
        <f t="shared" si="0"/>
        <v>0.00349790125924445</v>
      </c>
      <c r="F12" s="19">
        <f t="shared" si="1"/>
        <v>0.155111620527683</v>
      </c>
      <c r="H12" s="16" t="s">
        <v>163</v>
      </c>
      <c r="I12" s="18">
        <v>20012</v>
      </c>
      <c r="J12" s="18">
        <v>70</v>
      </c>
      <c r="K12" s="17">
        <f t="shared" si="2"/>
        <v>0.00349790125924445</v>
      </c>
      <c r="L12" s="19">
        <f t="shared" si="3"/>
        <v>0.155111620527683</v>
      </c>
    </row>
    <row r="13" spans="1:12">
      <c r="B13" s="16" t="s">
        <v>164</v>
      </c>
      <c r="C13" s="18">
        <v>19573</v>
      </c>
      <c r="D13" s="18">
        <v>25</v>
      </c>
      <c r="E13" s="17">
        <f t="shared" si="0"/>
        <v>0.0012772697082716</v>
      </c>
      <c r="F13" s="19">
        <f t="shared" si="1"/>
        <v>0.0566394988358599</v>
      </c>
      <c r="H13" s="16" t="s">
        <v>164</v>
      </c>
      <c r="I13" s="18">
        <v>19573</v>
      </c>
      <c r="J13" s="18">
        <v>25</v>
      </c>
      <c r="K13" s="17">
        <f t="shared" si="2"/>
        <v>0.0012772697082716</v>
      </c>
      <c r="L13" s="19">
        <f t="shared" si="3"/>
        <v>0.0566394988358599</v>
      </c>
    </row>
    <row r="14" spans="1:12">
      <c r="C14">
        <f>SUM(C4:C13)</f>
        <v>198662</v>
      </c>
      <c r="D14">
        <f>SUM(D4:D13)</f>
        <v>4480</v>
      </c>
      <c r="E14" s="20">
        <f t="shared" si="0"/>
        <v>0.0225508652887819</v>
      </c>
      <c r="I14">
        <f>SUM(I4:I13)</f>
        <v>198662</v>
      </c>
      <c r="J14">
        <f>SUM(J4:J13)</f>
        <v>4480</v>
      </c>
      <c r="K14" s="20">
        <f t="shared" si="2"/>
        <v>0.0225508652887819</v>
      </c>
    </row>
    <row r="16" spans="1:12">
      <c r="A16" s="1" t="s">
        <v>149</v>
      </c>
    </row>
    <row r="17" spans="1:12">
      <c r="B17" t="s">
        <v>150</v>
      </c>
      <c r="H17" t="s">
        <v>151</v>
      </c>
    </row>
    <row r="18" spans="1:12">
      <c r="A18" s="1" t="s">
        <v>165</v>
      </c>
      <c r="C18" s="16" t="s">
        <v>152</v>
      </c>
      <c r="D18" s="16" t="s">
        <v>153</v>
      </c>
      <c r="E18" s="17" t="s">
        <v>26</v>
      </c>
      <c r="F18" t="s">
        <v>154</v>
      </c>
      <c r="I18" s="16" t="s">
        <v>152</v>
      </c>
      <c r="J18" s="16" t="s">
        <v>153</v>
      </c>
      <c r="K18" s="17" t="s">
        <v>26</v>
      </c>
      <c r="L18" t="s">
        <v>154</v>
      </c>
    </row>
    <row r="19" spans="1:12">
      <c r="B19" s="16" t="s">
        <v>155</v>
      </c>
      <c r="C19" s="18">
        <v>20167</v>
      </c>
      <c r="D19" s="18">
        <v>1367</v>
      </c>
      <c r="E19" s="17">
        <f>D19/C19</f>
        <v>0.0677840035701889</v>
      </c>
      <c r="F19" s="19">
        <f>E19/E$14</f>
        <v>3.00582716903144</v>
      </c>
      <c r="H19" s="16" t="s">
        <v>155</v>
      </c>
      <c r="I19" s="18">
        <v>20167</v>
      </c>
      <c r="J19" s="18">
        <v>1367</v>
      </c>
      <c r="K19" s="17">
        <f>J19/I19</f>
        <v>0.0677840035701889</v>
      </c>
      <c r="L19" s="19">
        <f>K19/K$14</f>
        <v>3.00582716903144</v>
      </c>
    </row>
    <row r="20" spans="1:12">
      <c r="B20" s="16" t="s">
        <v>156</v>
      </c>
      <c r="C20" s="18">
        <v>20360</v>
      </c>
      <c r="D20" s="18">
        <v>863</v>
      </c>
      <c r="E20" s="17">
        <f t="shared" ref="E20:E29" si="4">D20/C20</f>
        <v>0.0423870333988212</v>
      </c>
      <c r="F20" s="19">
        <f t="shared" ref="F20:F28" si="5">E20/E$14</f>
        <v>1.87961893506175</v>
      </c>
      <c r="H20" s="16" t="s">
        <v>156</v>
      </c>
      <c r="I20" s="18">
        <v>20360</v>
      </c>
      <c r="J20" s="18">
        <v>863</v>
      </c>
      <c r="K20" s="17">
        <f t="shared" ref="K20:K29" si="6">J20/I20</f>
        <v>0.0423870333988212</v>
      </c>
      <c r="L20" s="19">
        <f t="shared" ref="L20:L28" si="7">K20/K$14</f>
        <v>1.87961893506175</v>
      </c>
    </row>
    <row r="21" spans="1:12">
      <c r="B21" s="16" t="s">
        <v>157</v>
      </c>
      <c r="C21" s="18">
        <v>19495</v>
      </c>
      <c r="D21" s="18">
        <v>612</v>
      </c>
      <c r="E21" s="17">
        <f t="shared" si="4"/>
        <v>0.0313926647858425</v>
      </c>
      <c r="F21" s="19">
        <f t="shared" si="5"/>
        <v>1.3920824936797</v>
      </c>
      <c r="H21" s="16" t="s">
        <v>157</v>
      </c>
      <c r="I21" s="18">
        <v>19495</v>
      </c>
      <c r="J21" s="18">
        <v>612</v>
      </c>
      <c r="K21" s="17">
        <f t="shared" si="6"/>
        <v>0.0313926647858425</v>
      </c>
      <c r="L21" s="19">
        <f t="shared" si="7"/>
        <v>1.3920824936797</v>
      </c>
    </row>
    <row r="22" spans="1:12">
      <c r="B22" s="16" t="s">
        <v>158</v>
      </c>
      <c r="C22" s="18">
        <v>20195</v>
      </c>
      <c r="D22" s="18">
        <v>497</v>
      </c>
      <c r="E22" s="17">
        <f t="shared" si="4"/>
        <v>0.0246100519930676</v>
      </c>
      <c r="F22" s="19">
        <f t="shared" si="5"/>
        <v>1.09131297969795</v>
      </c>
      <c r="H22" s="16" t="s">
        <v>158</v>
      </c>
      <c r="I22" s="18">
        <v>20195</v>
      </c>
      <c r="J22" s="18">
        <v>497</v>
      </c>
      <c r="K22" s="17">
        <f t="shared" si="6"/>
        <v>0.0246100519930676</v>
      </c>
      <c r="L22" s="19">
        <f t="shared" si="7"/>
        <v>1.09131297969795</v>
      </c>
    </row>
    <row r="23" spans="1:12">
      <c r="B23" s="16" t="s">
        <v>159</v>
      </c>
      <c r="C23" s="18">
        <v>19338</v>
      </c>
      <c r="D23" s="18">
        <v>396</v>
      </c>
      <c r="E23" s="17">
        <f t="shared" si="4"/>
        <v>0.0204778156996587</v>
      </c>
      <c r="F23" s="19">
        <f t="shared" si="5"/>
        <v>0.908072281813749</v>
      </c>
      <c r="H23" s="16" t="s">
        <v>159</v>
      </c>
      <c r="I23" s="18">
        <v>19338</v>
      </c>
      <c r="J23" s="18">
        <v>396</v>
      </c>
      <c r="K23" s="17">
        <f t="shared" si="6"/>
        <v>0.0204778156996587</v>
      </c>
      <c r="L23" s="19">
        <f t="shared" si="7"/>
        <v>0.908072281813749</v>
      </c>
    </row>
    <row r="24" spans="1:12">
      <c r="B24" s="16" t="s">
        <v>160</v>
      </c>
      <c r="C24" s="18">
        <v>20670</v>
      </c>
      <c r="D24" s="18">
        <v>330</v>
      </c>
      <c r="E24" s="17">
        <f t="shared" si="4"/>
        <v>0.0159651669085631</v>
      </c>
      <c r="F24" s="19">
        <f t="shared" si="5"/>
        <v>0.707962497408252</v>
      </c>
      <c r="H24" s="16" t="s">
        <v>160</v>
      </c>
      <c r="I24" s="18">
        <v>20670</v>
      </c>
      <c r="J24" s="18">
        <v>330</v>
      </c>
      <c r="K24" s="17">
        <f t="shared" si="6"/>
        <v>0.0159651669085631</v>
      </c>
      <c r="L24" s="19">
        <f t="shared" si="7"/>
        <v>0.707962497408252</v>
      </c>
    </row>
    <row r="25" spans="1:12">
      <c r="B25" s="16" t="s">
        <v>161</v>
      </c>
      <c r="C25" s="18">
        <v>19408</v>
      </c>
      <c r="D25" s="18">
        <v>189</v>
      </c>
      <c r="E25" s="17">
        <f t="shared" si="4"/>
        <v>0.00973825226710635</v>
      </c>
      <c r="F25" s="19">
        <f t="shared" si="5"/>
        <v>0.431834971403545</v>
      </c>
      <c r="H25" s="16" t="s">
        <v>161</v>
      </c>
      <c r="I25" s="18">
        <v>19408</v>
      </c>
      <c r="J25" s="18">
        <v>189</v>
      </c>
      <c r="K25" s="17">
        <f t="shared" si="6"/>
        <v>0.00973825226710635</v>
      </c>
      <c r="L25" s="19">
        <f t="shared" si="7"/>
        <v>0.431834971403545</v>
      </c>
    </row>
    <row r="26" spans="1:12">
      <c r="B26" s="16" t="s">
        <v>162</v>
      </c>
      <c r="C26" s="18">
        <v>19444</v>
      </c>
      <c r="D26" s="18">
        <v>131</v>
      </c>
      <c r="E26" s="17">
        <f t="shared" si="4"/>
        <v>0.00673729685249949</v>
      </c>
      <c r="F26" s="19">
        <f t="shared" si="5"/>
        <v>0.298760015024833</v>
      </c>
      <c r="H26" s="16" t="s">
        <v>162</v>
      </c>
      <c r="I26" s="18">
        <v>19444</v>
      </c>
      <c r="J26" s="18">
        <v>131</v>
      </c>
      <c r="K26" s="17">
        <f t="shared" si="6"/>
        <v>0.00673729685249949</v>
      </c>
      <c r="L26" s="19">
        <f t="shared" si="7"/>
        <v>0.298760015024833</v>
      </c>
    </row>
    <row r="27" spans="1:12">
      <c r="B27" s="16" t="s">
        <v>163</v>
      </c>
      <c r="C27" s="18">
        <v>20012</v>
      </c>
      <c r="D27" s="18">
        <v>70</v>
      </c>
      <c r="E27" s="17">
        <f t="shared" si="4"/>
        <v>0.00349790125924445</v>
      </c>
      <c r="F27" s="19">
        <f t="shared" si="5"/>
        <v>0.155111620527683</v>
      </c>
      <c r="H27" s="16" t="s">
        <v>163</v>
      </c>
      <c r="I27" s="18">
        <v>20012</v>
      </c>
      <c r="J27" s="18">
        <v>70</v>
      </c>
      <c r="K27" s="17">
        <f t="shared" si="6"/>
        <v>0.00349790125924445</v>
      </c>
      <c r="L27" s="19">
        <f t="shared" si="7"/>
        <v>0.155111620527683</v>
      </c>
    </row>
    <row r="28" spans="1:12">
      <c r="B28" s="16" t="s">
        <v>164</v>
      </c>
      <c r="C28" s="18">
        <v>19573</v>
      </c>
      <c r="D28" s="18">
        <v>25</v>
      </c>
      <c r="E28" s="17">
        <f t="shared" si="4"/>
        <v>0.0012772697082716</v>
      </c>
      <c r="F28" s="19">
        <f t="shared" si="5"/>
        <v>0.0566394988358599</v>
      </c>
      <c r="H28" s="16" t="s">
        <v>164</v>
      </c>
      <c r="I28" s="18">
        <v>19573</v>
      </c>
      <c r="J28" s="18">
        <v>25</v>
      </c>
      <c r="K28" s="17">
        <f t="shared" si="6"/>
        <v>0.0012772697082716</v>
      </c>
      <c r="L28" s="19">
        <f t="shared" si="7"/>
        <v>0.0566394988358599</v>
      </c>
    </row>
    <row r="29" spans="1:12">
      <c r="C29">
        <f>SUM(C19:C28)</f>
        <v>198662</v>
      </c>
      <c r="D29">
        <f>SUM(D19:D28)</f>
        <v>4480</v>
      </c>
      <c r="E29" s="20">
        <f t="shared" si="4"/>
        <v>0.0225508652887819</v>
      </c>
      <c r="I29">
        <f>SUM(I19:I28)</f>
        <v>198662</v>
      </c>
      <c r="J29">
        <f>SUM(J19:J28)</f>
        <v>4480</v>
      </c>
      <c r="K29" s="20">
        <f t="shared" si="6"/>
        <v>0.0225508652887819</v>
      </c>
    </row>
    <row r="31" spans="1:12">
      <c r="A31" s="1" t="s">
        <v>166</v>
      </c>
    </row>
    <row r="32" spans="1:12">
      <c r="B32" t="s">
        <v>150</v>
      </c>
    </row>
    <row r="33" spans="2:22">
      <c r="B33" s="21" t="s">
        <v>167</v>
      </c>
      <c r="C33" s="21" t="s">
        <v>168</v>
      </c>
      <c r="D33" s="22"/>
      <c r="E33" s="22"/>
      <c r="F33" s="22"/>
      <c r="G33" s="22"/>
      <c r="H33" s="22"/>
      <c r="I33" s="21" t="s">
        <v>169</v>
      </c>
      <c r="J33" s="21" t="s">
        <v>168</v>
      </c>
      <c r="K33" s="22"/>
      <c r="L33" s="22"/>
      <c r="M33" s="22"/>
      <c r="N33" s="22"/>
      <c r="O33" s="22"/>
      <c r="P33" s="23" t="s">
        <v>170</v>
      </c>
      <c r="Q33" s="23" t="s">
        <v>168</v>
      </c>
      <c r="R33" s="24"/>
      <c r="S33" s="24"/>
      <c r="T33" s="24"/>
      <c r="U33" s="24"/>
      <c r="V33" s="24"/>
    </row>
    <row r="34" spans="2:22">
      <c r="B34" s="21" t="s">
        <v>171</v>
      </c>
      <c r="C34" s="22" t="s">
        <v>172</v>
      </c>
      <c r="D34" s="22" t="s">
        <v>173</v>
      </c>
      <c r="E34" s="22" t="s">
        <v>174</v>
      </c>
      <c r="F34" s="22" t="s">
        <v>175</v>
      </c>
      <c r="G34" s="22" t="s">
        <v>176</v>
      </c>
      <c r="H34" s="25" t="s">
        <v>80</v>
      </c>
      <c r="I34" s="21" t="s">
        <v>171</v>
      </c>
      <c r="J34" s="22" t="s">
        <v>172</v>
      </c>
      <c r="K34" s="22" t="s">
        <v>173</v>
      </c>
      <c r="L34" s="22" t="s">
        <v>174</v>
      </c>
      <c r="M34" s="22" t="s">
        <v>175</v>
      </c>
      <c r="N34" s="22" t="s">
        <v>176</v>
      </c>
      <c r="O34" s="25" t="s">
        <v>80</v>
      </c>
      <c r="P34" s="23" t="s">
        <v>171</v>
      </c>
      <c r="Q34" s="24" t="s">
        <v>172</v>
      </c>
      <c r="R34" s="24" t="s">
        <v>173</v>
      </c>
      <c r="S34" s="24" t="s">
        <v>174</v>
      </c>
      <c r="T34" s="24" t="s">
        <v>175</v>
      </c>
      <c r="U34" s="24" t="s">
        <v>176</v>
      </c>
      <c r="V34" s="26" t="s">
        <v>80</v>
      </c>
    </row>
    <row r="35" spans="2:22">
      <c r="B35" s="27" t="s">
        <v>177</v>
      </c>
      <c r="C35" s="8">
        <v>39088</v>
      </c>
      <c r="D35" s="8">
        <v>15051</v>
      </c>
      <c r="E35" s="8">
        <v>5960</v>
      </c>
      <c r="F35" s="8">
        <v>2270</v>
      </c>
      <c r="G35" s="8">
        <v>462</v>
      </c>
      <c r="H35" s="28">
        <f>SUM(C35:G35)</f>
        <v>62831</v>
      </c>
      <c r="I35" s="27" t="s">
        <v>177</v>
      </c>
      <c r="J35" s="8">
        <v>3352</v>
      </c>
      <c r="K35" s="8">
        <v>836</v>
      </c>
      <c r="L35" s="8">
        <v>246</v>
      </c>
      <c r="M35" s="8">
        <v>68</v>
      </c>
      <c r="N35" s="8">
        <v>8</v>
      </c>
      <c r="O35" s="28">
        <f>SUM(J35:N35)</f>
        <v>4510</v>
      </c>
      <c r="P35" s="12" t="s">
        <v>177</v>
      </c>
      <c r="Q35" s="29">
        <v>0.0857552189930413</v>
      </c>
      <c r="R35" s="29">
        <v>0.055544482094213</v>
      </c>
      <c r="S35" s="29">
        <v>0.0412751677852349</v>
      </c>
      <c r="T35" s="29">
        <v>0.0299559471365639</v>
      </c>
      <c r="U35" s="29">
        <v>0.0173160173160173</v>
      </c>
      <c r="V35" s="29">
        <v>0.0717798538937786</v>
      </c>
    </row>
    <row r="36" spans="2:22">
      <c r="B36" s="27" t="s">
        <v>178</v>
      </c>
      <c r="C36" s="8">
        <v>15471</v>
      </c>
      <c r="D36" s="8">
        <v>21087</v>
      </c>
      <c r="E36" s="8">
        <v>14276</v>
      </c>
      <c r="F36" s="8">
        <v>7750</v>
      </c>
      <c r="G36" s="8">
        <v>2137</v>
      </c>
      <c r="H36" s="30">
        <f t="shared" ref="H36:H39" si="8">SUM(C36:G36)</f>
        <v>60721</v>
      </c>
      <c r="I36" s="27" t="s">
        <v>178</v>
      </c>
      <c r="J36" s="8">
        <v>572</v>
      </c>
      <c r="K36" s="8">
        <v>676</v>
      </c>
      <c r="L36" s="8">
        <v>359</v>
      </c>
      <c r="M36" s="8">
        <v>160</v>
      </c>
      <c r="N36" s="8">
        <v>29</v>
      </c>
      <c r="O36" s="30">
        <f t="shared" ref="O36:O39" si="9">SUM(J36:N36)</f>
        <v>1796</v>
      </c>
      <c r="P36" s="12" t="s">
        <v>178</v>
      </c>
      <c r="Q36" s="29">
        <v>0.0369723999741452</v>
      </c>
      <c r="R36" s="29">
        <v>0.0320576658604828</v>
      </c>
      <c r="S36" s="29">
        <v>0.0251471000280191</v>
      </c>
      <c r="T36" s="29">
        <v>0.0206451612903226</v>
      </c>
      <c r="U36" s="29">
        <v>0.0135704258306037</v>
      </c>
      <c r="V36" s="29">
        <v>0.029577905502215</v>
      </c>
    </row>
    <row r="37" spans="2:22">
      <c r="B37" s="27" t="s">
        <v>179</v>
      </c>
      <c r="C37" s="8">
        <v>5649</v>
      </c>
      <c r="D37" s="8">
        <v>16748</v>
      </c>
      <c r="E37" s="8">
        <v>18221</v>
      </c>
      <c r="F37" s="8">
        <v>14243</v>
      </c>
      <c r="G37" s="8">
        <v>5841</v>
      </c>
      <c r="H37" s="30">
        <f t="shared" si="8"/>
        <v>60702</v>
      </c>
      <c r="I37" s="27" t="s">
        <v>179</v>
      </c>
      <c r="J37" s="8">
        <v>129</v>
      </c>
      <c r="K37" s="8">
        <v>304</v>
      </c>
      <c r="L37" s="8">
        <v>276</v>
      </c>
      <c r="M37" s="8">
        <v>199</v>
      </c>
      <c r="N37" s="8">
        <v>62</v>
      </c>
      <c r="O37" s="30">
        <f t="shared" si="9"/>
        <v>970</v>
      </c>
      <c r="P37" s="12" t="s">
        <v>179</v>
      </c>
      <c r="Q37" s="29">
        <v>0.0228359001593202</v>
      </c>
      <c r="R37" s="29">
        <v>0.0181514210652018</v>
      </c>
      <c r="S37" s="29">
        <v>0.0151473574447067</v>
      </c>
      <c r="T37" s="29">
        <v>0.0139717756090711</v>
      </c>
      <c r="U37" s="29">
        <v>0.0106146207841123</v>
      </c>
      <c r="V37" s="29">
        <v>0.0159797041283648</v>
      </c>
    </row>
    <row r="38" spans="2:22">
      <c r="B38" s="27" t="s">
        <v>180</v>
      </c>
      <c r="C38" s="8">
        <v>1294</v>
      </c>
      <c r="D38" s="8">
        <v>8126</v>
      </c>
      <c r="E38" s="8">
        <v>15832</v>
      </c>
      <c r="F38" s="8">
        <v>20100</v>
      </c>
      <c r="G38" s="8">
        <v>13703</v>
      </c>
      <c r="H38" s="30">
        <f t="shared" si="8"/>
        <v>59055</v>
      </c>
      <c r="I38" s="27" t="s">
        <v>180</v>
      </c>
      <c r="J38" s="8">
        <v>16</v>
      </c>
      <c r="K38" s="8">
        <v>115</v>
      </c>
      <c r="L38" s="8">
        <v>164</v>
      </c>
      <c r="M38" s="8">
        <v>187</v>
      </c>
      <c r="N38" s="8">
        <v>103</v>
      </c>
      <c r="O38" s="30">
        <f t="shared" si="9"/>
        <v>585</v>
      </c>
      <c r="P38" s="12" t="s">
        <v>180</v>
      </c>
      <c r="Q38" s="29">
        <v>0.0123647604327666</v>
      </c>
      <c r="R38" s="29">
        <v>0.0141521043563869</v>
      </c>
      <c r="S38" s="29">
        <v>0.0103587670540677</v>
      </c>
      <c r="T38" s="29">
        <v>0.00930348258706468</v>
      </c>
      <c r="U38" s="29">
        <v>0.00751660220389696</v>
      </c>
      <c r="V38" s="29">
        <v>0.00990601981203962</v>
      </c>
    </row>
    <row r="39" spans="2:22">
      <c r="B39" s="27" t="s">
        <v>181</v>
      </c>
      <c r="C39" s="8">
        <v>127</v>
      </c>
      <c r="D39" s="8">
        <v>1348</v>
      </c>
      <c r="E39" s="8">
        <v>5417</v>
      </c>
      <c r="F39" s="8">
        <v>15167</v>
      </c>
      <c r="G39" s="8">
        <v>37707</v>
      </c>
      <c r="H39" s="30">
        <f t="shared" si="8"/>
        <v>59766</v>
      </c>
      <c r="I39" s="27" t="s">
        <v>181</v>
      </c>
      <c r="J39" s="8">
        <v>3</v>
      </c>
      <c r="K39" s="8">
        <v>14</v>
      </c>
      <c r="L39" s="8">
        <v>51</v>
      </c>
      <c r="M39" s="8">
        <v>92</v>
      </c>
      <c r="N39" s="8">
        <v>173</v>
      </c>
      <c r="O39" s="30">
        <f t="shared" si="9"/>
        <v>333</v>
      </c>
      <c r="P39" s="12" t="s">
        <v>181</v>
      </c>
      <c r="Q39" s="29">
        <v>0.0236220472440945</v>
      </c>
      <c r="R39" s="29">
        <v>0.0103857566765579</v>
      </c>
      <c r="S39" s="29">
        <v>0.00941480524275429</v>
      </c>
      <c r="T39" s="29">
        <v>0.00606580075163183</v>
      </c>
      <c r="U39" s="29">
        <v>0.00458800753175803</v>
      </c>
      <c r="V39" s="29">
        <v>0.00557172974600944</v>
      </c>
    </row>
    <row r="40" spans="2:22">
      <c r="B40" s="31" t="s">
        <v>80</v>
      </c>
      <c r="C40" s="32">
        <f>SUM(C35:C39)</f>
        <v>61629</v>
      </c>
      <c r="D40" s="32">
        <f t="shared" ref="D40:H40" si="10">SUM(D35:D39)</f>
        <v>62360</v>
      </c>
      <c r="E40" s="32">
        <f t="shared" si="10"/>
        <v>59706</v>
      </c>
      <c r="F40" s="32">
        <f t="shared" si="10"/>
        <v>59530</v>
      </c>
      <c r="G40" s="32">
        <f t="shared" si="10"/>
        <v>59850</v>
      </c>
      <c r="H40" s="32">
        <f t="shared" si="10"/>
        <v>303075</v>
      </c>
      <c r="I40" s="31" t="s">
        <v>80</v>
      </c>
      <c r="J40" s="32">
        <f>SUM(J35:J39)</f>
        <v>4072</v>
      </c>
      <c r="K40" s="32">
        <f t="shared" ref="K40:O40" si="11">SUM(K35:K39)</f>
        <v>1945</v>
      </c>
      <c r="L40" s="32">
        <f t="shared" si="11"/>
        <v>1096</v>
      </c>
      <c r="M40" s="32">
        <f t="shared" si="11"/>
        <v>706</v>
      </c>
      <c r="N40" s="32">
        <f t="shared" si="11"/>
        <v>375</v>
      </c>
      <c r="O40" s="32">
        <f t="shared" si="11"/>
        <v>8194</v>
      </c>
      <c r="P40" s="33" t="s">
        <v>80</v>
      </c>
      <c r="Q40" s="34">
        <v>0.0660727904071135</v>
      </c>
      <c r="R40" s="34">
        <v>0.0311898652982681</v>
      </c>
      <c r="S40" s="34">
        <v>0.0183566140756373</v>
      </c>
      <c r="T40" s="34">
        <v>0.0118595666050731</v>
      </c>
      <c r="U40" s="34">
        <v>0.006265664160401</v>
      </c>
      <c r="V40" s="34">
        <v>0.0270362121587066</v>
      </c>
    </row>
    <row r="42" spans="2:22">
      <c r="B42" s="27" t="s">
        <v>182</v>
      </c>
    </row>
    <row r="43" spans="2:22">
      <c r="B43" s="21" t="s">
        <v>167</v>
      </c>
      <c r="C43" s="21" t="s">
        <v>168</v>
      </c>
      <c r="D43" s="22"/>
      <c r="E43" s="22"/>
      <c r="F43" s="22"/>
      <c r="G43" s="22"/>
      <c r="H43" s="22"/>
      <c r="I43" s="21" t="s">
        <v>169</v>
      </c>
      <c r="J43" s="21" t="s">
        <v>168</v>
      </c>
      <c r="K43" s="22"/>
      <c r="L43" s="22"/>
      <c r="M43" s="22"/>
      <c r="N43" s="22"/>
      <c r="O43" s="22"/>
      <c r="P43" s="23" t="s">
        <v>170</v>
      </c>
      <c r="Q43" s="23" t="s">
        <v>168</v>
      </c>
      <c r="R43" s="24"/>
      <c r="S43" s="24"/>
      <c r="T43" s="24"/>
      <c r="U43" s="24"/>
      <c r="V43" s="24"/>
    </row>
    <row r="44" spans="2:22">
      <c r="B44" s="21" t="s">
        <v>171</v>
      </c>
      <c r="C44" s="22" t="s">
        <v>172</v>
      </c>
      <c r="D44" s="22" t="s">
        <v>173</v>
      </c>
      <c r="E44" s="22" t="s">
        <v>174</v>
      </c>
      <c r="F44" s="22" t="s">
        <v>175</v>
      </c>
      <c r="G44" s="22" t="s">
        <v>176</v>
      </c>
      <c r="H44" s="25" t="s">
        <v>80</v>
      </c>
      <c r="I44" s="21" t="s">
        <v>171</v>
      </c>
      <c r="J44" s="22" t="s">
        <v>172</v>
      </c>
      <c r="K44" s="22" t="s">
        <v>173</v>
      </c>
      <c r="L44" s="22" t="s">
        <v>174</v>
      </c>
      <c r="M44" s="22" t="s">
        <v>175</v>
      </c>
      <c r="N44" s="22" t="s">
        <v>176</v>
      </c>
      <c r="O44" s="25" t="s">
        <v>80</v>
      </c>
      <c r="P44" s="23" t="s">
        <v>171</v>
      </c>
      <c r="Q44" s="24" t="s">
        <v>172</v>
      </c>
      <c r="R44" s="24" t="s">
        <v>173</v>
      </c>
      <c r="S44" s="24" t="s">
        <v>174</v>
      </c>
      <c r="T44" s="24" t="s">
        <v>175</v>
      </c>
      <c r="U44" s="24" t="s">
        <v>176</v>
      </c>
      <c r="V44" s="26" t="s">
        <v>80</v>
      </c>
    </row>
    <row r="45" spans="2:22">
      <c r="B45" s="27" t="s">
        <v>177</v>
      </c>
      <c r="C45" s="8">
        <v>39088</v>
      </c>
      <c r="D45" s="8">
        <v>15051</v>
      </c>
      <c r="E45" s="8">
        <v>5960</v>
      </c>
      <c r="F45" s="8">
        <v>2270</v>
      </c>
      <c r="G45" s="8">
        <v>462</v>
      </c>
      <c r="H45" s="28">
        <f>SUM(C45:G45)</f>
        <v>62831</v>
      </c>
      <c r="I45" s="27" t="s">
        <v>177</v>
      </c>
      <c r="J45" s="8">
        <v>3352</v>
      </c>
      <c r="K45" s="8">
        <v>836</v>
      </c>
      <c r="L45" s="8">
        <v>246</v>
      </c>
      <c r="M45" s="8">
        <v>68</v>
      </c>
      <c r="N45" s="8">
        <v>8</v>
      </c>
      <c r="O45" s="28">
        <f>SUM(J45:N45)</f>
        <v>4510</v>
      </c>
      <c r="P45" s="12" t="s">
        <v>177</v>
      </c>
      <c r="Q45" s="29">
        <v>0.0857552189930413</v>
      </c>
      <c r="R45" s="29">
        <v>0.055544482094213</v>
      </c>
      <c r="S45" s="29">
        <v>0.0412751677852349</v>
      </c>
      <c r="T45" s="29">
        <v>0.0299559471365639</v>
      </c>
      <c r="U45" s="29">
        <v>0.0173160173160173</v>
      </c>
      <c r="V45" s="29">
        <v>0.0717798538937786</v>
      </c>
    </row>
    <row r="46" spans="2:22">
      <c r="B46" s="27" t="s">
        <v>178</v>
      </c>
      <c r="C46" s="8">
        <v>15471</v>
      </c>
      <c r="D46" s="8">
        <v>21087</v>
      </c>
      <c r="E46" s="8">
        <v>14276</v>
      </c>
      <c r="F46" s="8">
        <v>7750</v>
      </c>
      <c r="G46" s="8">
        <v>2137</v>
      </c>
      <c r="H46" s="30">
        <f t="shared" ref="H46:H49" si="12">SUM(C46:G46)</f>
        <v>60721</v>
      </c>
      <c r="I46" s="27" t="s">
        <v>178</v>
      </c>
      <c r="J46" s="8">
        <v>572</v>
      </c>
      <c r="K46" s="8">
        <v>676</v>
      </c>
      <c r="L46" s="8">
        <v>359</v>
      </c>
      <c r="M46" s="8">
        <v>160</v>
      </c>
      <c r="N46" s="8">
        <v>29</v>
      </c>
      <c r="O46" s="30">
        <f t="shared" ref="O46:O49" si="13">SUM(J46:N46)</f>
        <v>1796</v>
      </c>
      <c r="P46" s="12" t="s">
        <v>178</v>
      </c>
      <c r="Q46" s="29">
        <v>0.0369723999741452</v>
      </c>
      <c r="R46" s="29">
        <v>0.0320576658604828</v>
      </c>
      <c r="S46" s="29">
        <v>0.0251471000280191</v>
      </c>
      <c r="T46" s="29">
        <v>0.0206451612903226</v>
      </c>
      <c r="U46" s="29">
        <v>0.0135704258306037</v>
      </c>
      <c r="V46" s="29">
        <v>0.029577905502215</v>
      </c>
    </row>
    <row r="47" spans="2:22">
      <c r="B47" s="27" t="s">
        <v>179</v>
      </c>
      <c r="C47" s="8">
        <v>5649</v>
      </c>
      <c r="D47" s="8">
        <v>16748</v>
      </c>
      <c r="E47" s="8">
        <v>18221</v>
      </c>
      <c r="F47" s="8">
        <v>14243</v>
      </c>
      <c r="G47" s="8">
        <v>5841</v>
      </c>
      <c r="H47" s="30">
        <f t="shared" si="12"/>
        <v>60702</v>
      </c>
      <c r="I47" s="27" t="s">
        <v>179</v>
      </c>
      <c r="J47" s="8">
        <v>129</v>
      </c>
      <c r="K47" s="8">
        <v>304</v>
      </c>
      <c r="L47" s="8">
        <v>276</v>
      </c>
      <c r="M47" s="8">
        <v>199</v>
      </c>
      <c r="N47" s="8">
        <v>62</v>
      </c>
      <c r="O47" s="30">
        <f t="shared" si="13"/>
        <v>970</v>
      </c>
      <c r="P47" s="12" t="s">
        <v>179</v>
      </c>
      <c r="Q47" s="29">
        <v>0.0228359001593202</v>
      </c>
      <c r="R47" s="29">
        <v>0.0181514210652018</v>
      </c>
      <c r="S47" s="29">
        <v>0.0151473574447067</v>
      </c>
      <c r="T47" s="29">
        <v>0.0139717756090711</v>
      </c>
      <c r="U47" s="29">
        <v>0.0106146207841123</v>
      </c>
      <c r="V47" s="29">
        <v>0.0159797041283648</v>
      </c>
    </row>
    <row r="48" spans="2:22">
      <c r="B48" s="27" t="s">
        <v>180</v>
      </c>
      <c r="C48" s="8">
        <v>1294</v>
      </c>
      <c r="D48" s="8">
        <v>8126</v>
      </c>
      <c r="E48" s="8">
        <v>15832</v>
      </c>
      <c r="F48" s="8">
        <v>20100</v>
      </c>
      <c r="G48" s="8">
        <v>13703</v>
      </c>
      <c r="H48" s="30">
        <f t="shared" si="12"/>
        <v>59055</v>
      </c>
      <c r="I48" s="27" t="s">
        <v>180</v>
      </c>
      <c r="J48" s="8">
        <v>16</v>
      </c>
      <c r="K48" s="8">
        <v>115</v>
      </c>
      <c r="L48" s="8">
        <v>164</v>
      </c>
      <c r="M48" s="8">
        <v>187</v>
      </c>
      <c r="N48" s="8">
        <v>103</v>
      </c>
      <c r="O48" s="30">
        <f t="shared" si="13"/>
        <v>585</v>
      </c>
      <c r="P48" s="12" t="s">
        <v>180</v>
      </c>
      <c r="Q48" s="29">
        <v>0.0123647604327666</v>
      </c>
      <c r="R48" s="29">
        <v>0.0141521043563869</v>
      </c>
      <c r="S48" s="29">
        <v>0.0103587670540677</v>
      </c>
      <c r="T48" s="29">
        <v>0.00930348258706468</v>
      </c>
      <c r="U48" s="29">
        <v>0.00751660220389696</v>
      </c>
      <c r="V48" s="29">
        <v>0.00990601981203962</v>
      </c>
    </row>
    <row r="49" spans="2:22">
      <c r="B49" s="27" t="s">
        <v>181</v>
      </c>
      <c r="C49" s="8">
        <v>127</v>
      </c>
      <c r="D49" s="8">
        <v>1348</v>
      </c>
      <c r="E49" s="8">
        <v>5417</v>
      </c>
      <c r="F49" s="8">
        <v>15167</v>
      </c>
      <c r="G49" s="8">
        <v>37707</v>
      </c>
      <c r="H49" s="30">
        <f t="shared" si="12"/>
        <v>59766</v>
      </c>
      <c r="I49" s="27" t="s">
        <v>181</v>
      </c>
      <c r="J49" s="8">
        <v>3</v>
      </c>
      <c r="K49" s="8">
        <v>14</v>
      </c>
      <c r="L49" s="8">
        <v>51</v>
      </c>
      <c r="M49" s="8">
        <v>92</v>
      </c>
      <c r="N49" s="8">
        <v>173</v>
      </c>
      <c r="O49" s="30">
        <f t="shared" si="13"/>
        <v>333</v>
      </c>
      <c r="P49" s="12" t="s">
        <v>181</v>
      </c>
      <c r="Q49" s="29">
        <v>0.0236220472440945</v>
      </c>
      <c r="R49" s="29">
        <v>0.0103857566765579</v>
      </c>
      <c r="S49" s="29">
        <v>0.00941480524275429</v>
      </c>
      <c r="T49" s="29">
        <v>0.00606580075163183</v>
      </c>
      <c r="U49" s="29">
        <v>0.00458800753175803</v>
      </c>
      <c r="V49" s="29">
        <v>0.00557172974600944</v>
      </c>
    </row>
    <row r="50" spans="2:22">
      <c r="B50" s="31" t="s">
        <v>80</v>
      </c>
      <c r="C50" s="32">
        <f>SUM(C45:C49)</f>
        <v>61629</v>
      </c>
      <c r="D50" s="32">
        <f t="shared" ref="D50:H50" si="14">SUM(D45:D49)</f>
        <v>62360</v>
      </c>
      <c r="E50" s="32">
        <f t="shared" si="14"/>
        <v>59706</v>
      </c>
      <c r="F50" s="32">
        <f t="shared" si="14"/>
        <v>59530</v>
      </c>
      <c r="G50" s="32">
        <f t="shared" si="14"/>
        <v>59850</v>
      </c>
      <c r="H50" s="32">
        <f t="shared" si="14"/>
        <v>303075</v>
      </c>
      <c r="I50" s="31" t="s">
        <v>80</v>
      </c>
      <c r="J50" s="32">
        <f>SUM(J45:J49)</f>
        <v>4072</v>
      </c>
      <c r="K50" s="32">
        <f t="shared" ref="K50:O50" si="15">SUM(K45:K49)</f>
        <v>1945</v>
      </c>
      <c r="L50" s="32">
        <f t="shared" si="15"/>
        <v>1096</v>
      </c>
      <c r="M50" s="32">
        <f t="shared" si="15"/>
        <v>706</v>
      </c>
      <c r="N50" s="32">
        <f t="shared" si="15"/>
        <v>375</v>
      </c>
      <c r="O50" s="32">
        <f t="shared" si="15"/>
        <v>8194</v>
      </c>
      <c r="P50" s="33" t="s">
        <v>80</v>
      </c>
      <c r="Q50" s="34">
        <v>0.0660727904071135</v>
      </c>
      <c r="R50" s="34">
        <v>0.0311898652982681</v>
      </c>
      <c r="S50" s="34">
        <v>0.0183566140756373</v>
      </c>
      <c r="T50" s="34">
        <v>0.0118595666050731</v>
      </c>
      <c r="U50" s="34">
        <v>0.006265664160401</v>
      </c>
      <c r="V50" s="34">
        <v>0.0270362121587066</v>
      </c>
    </row>
  </sheetData>
  <conditionalFormatting sqref="F4:F1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{1be72570-538c-4870-94d4-5b297d7f90b8}</x14:id>
        </ext>
      </extLst>
    </cfRule>
  </conditionalFormatting>
  <conditionalFormatting sqref="F19:F2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{1cec3fc8-2b2f-4cca-b67c-ba3b66c1850b}</x14:id>
        </ext>
      </extLst>
    </cfRule>
  </conditionalFormatting>
  <conditionalFormatting sqref="L4:L1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{6ee10091-8b9f-4efb-901b-48de974e7a1d}</x14:id>
        </ext>
      </extLst>
    </cfRule>
  </conditionalFormatting>
  <conditionalFormatting sqref="L19:L2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{9cf0c540-b430-4824-a06e-4441b8012619}</x14:id>
        </ext>
      </extLst>
    </cfRule>
  </conditionalFormatting>
  <conditionalFormatting sqref="C35:G39">
    <cfRule type="colorScale" priority="6">
      <colorScale>
        <cfvo type="min"/>
        <cfvo type="max"/>
        <color rgb="FFFCFCFF"/>
        <color rgb="FF63BE7B"/>
      </colorScale>
    </cfRule>
  </conditionalFormatting>
  <conditionalFormatting sqref="J35:N39">
    <cfRule type="colorScale" priority="5">
      <colorScale>
        <cfvo type="min"/>
        <cfvo type="max"/>
        <color rgb="FFFCFCFF"/>
        <color rgb="FF63BE7B"/>
      </colorScale>
    </cfRule>
  </conditionalFormatting>
  <conditionalFormatting sqref="Q35:U3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{f8674054-b790-46e1-867c-f191428c37b3}</x14:id>
        </ext>
      </extLst>
    </cfRule>
  </conditionalFormatting>
  <conditionalFormatting sqref="C45:G49">
    <cfRule type="colorScale" priority="3">
      <colorScale>
        <cfvo type="min"/>
        <cfvo type="max"/>
        <color rgb="FFFCFCFF"/>
        <color rgb="FF63BE7B"/>
      </colorScale>
    </cfRule>
  </conditionalFormatting>
  <conditionalFormatting sqref="J45:N49">
    <cfRule type="colorScale" priority="2">
      <colorScale>
        <cfvo type="min"/>
        <cfvo type="max"/>
        <color rgb="FFFCFCFF"/>
        <color rgb="FF63BE7B"/>
      </colorScale>
    </cfRule>
  </conditionalFormatting>
  <conditionalFormatting sqref="Q45:U4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{7269c4a8-a10c-45fc-9453-1e031972a7b6}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e72570-538c-4870-94d4-5b297d7f90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F4:F13</xm:sqref>
        </x14:conditionalFormatting>
        <x14:conditionalFormatting xmlns:xm="http://schemas.microsoft.com/office/excel/2006/main">
          <x14:cfRule type="dataBar" id="{1cec3fc8-2b2f-4cca-b67c-ba3b66c18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F19:F28</xm:sqref>
        </x14:conditionalFormatting>
        <x14:conditionalFormatting xmlns:xm="http://schemas.microsoft.com/office/excel/2006/main">
          <x14:cfRule type="dataBar" id="{6ee10091-8b9f-4efb-901b-48de974e7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L4:L13</xm:sqref>
        </x14:conditionalFormatting>
        <x14:conditionalFormatting xmlns:xm="http://schemas.microsoft.com/office/excel/2006/main">
          <x14:cfRule type="dataBar" id="{9cf0c540-b430-4824-a06e-4441b8012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L19:L28</xm:sqref>
        </x14:conditionalFormatting>
        <x14:conditionalFormatting xmlns:xm="http://schemas.microsoft.com/office/excel/2006/main">
          <x14:cfRule type="dataBar" id="{f8674054-b790-46e1-867c-f191428c37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Q35:U39</xm:sqref>
        </x14:conditionalFormatting>
        <x14:conditionalFormatting xmlns:xm="http://schemas.microsoft.com/office/excel/2006/main">
          <x14:cfRule type="dataBar" id="{7269c4a8-a10c-45fc-9453-1e031972a7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Q45:U49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0"/>
  <sheetViews>
    <sheetView topLeftCell="A65" workbookViewId="0">
      <selection activeCell="G91" sqref="G91"/>
    </sheetView>
  </sheetViews>
  <sheetFormatPr defaultColWidth="11" defaultRowHeight="17.6"/>
  <cols>
    <col min="1" max="1" width="10.8333333333333" style="1"/>
  </cols>
  <sheetData>
    <row r="1" spans="1:18">
      <c r="A1" s="1" t="s">
        <v>183</v>
      </c>
    </row>
    <row r="2" ht="18.35" spans="1:18">
      <c r="B2" s="2"/>
      <c r="C2" s="3">
        <v>202308</v>
      </c>
      <c r="D2" s="3">
        <v>202309</v>
      </c>
      <c r="E2" s="3">
        <v>202310</v>
      </c>
      <c r="F2" s="3">
        <v>202311</v>
      </c>
      <c r="G2" s="3">
        <v>202312</v>
      </c>
      <c r="H2" s="3">
        <v>202401</v>
      </c>
      <c r="I2" s="3">
        <v>202402</v>
      </c>
      <c r="J2" s="3">
        <v>202403</v>
      </c>
      <c r="K2" s="3">
        <v>202404</v>
      </c>
      <c r="L2" s="3">
        <v>202405</v>
      </c>
      <c r="M2" s="3">
        <v>202406</v>
      </c>
      <c r="N2" s="3">
        <v>202407</v>
      </c>
      <c r="O2" s="3">
        <v>202408</v>
      </c>
      <c r="P2" s="3">
        <v>202409</v>
      </c>
      <c r="Q2" s="3">
        <v>202410</v>
      </c>
      <c r="R2" s="3">
        <v>202411</v>
      </c>
    </row>
    <row r="3" ht="18.35" spans="1:18">
      <c r="B3" s="4" t="s">
        <v>184</v>
      </c>
      <c r="C3" s="5">
        <v>0</v>
      </c>
      <c r="D3" s="5">
        <v>0.000628</v>
      </c>
      <c r="E3" s="5">
        <v>0.001464</v>
      </c>
      <c r="F3" s="5">
        <v>0.002058</v>
      </c>
      <c r="G3" s="5">
        <v>0.001518</v>
      </c>
      <c r="H3" s="5">
        <v>0.002068</v>
      </c>
      <c r="I3" s="5">
        <v>0.003686</v>
      </c>
      <c r="J3" s="5">
        <v>0.004334</v>
      </c>
      <c r="K3" s="5">
        <v>0.005707</v>
      </c>
      <c r="L3" s="5">
        <v>0.004943</v>
      </c>
      <c r="M3" s="5">
        <v>0.006794</v>
      </c>
      <c r="N3" s="5">
        <v>0.006516</v>
      </c>
      <c r="O3" s="5">
        <v>0.007794</v>
      </c>
      <c r="P3" s="5">
        <v>0.009392</v>
      </c>
      <c r="Q3" s="5">
        <v>0.010177</v>
      </c>
      <c r="R3" s="5">
        <v>0.012505</v>
      </c>
    </row>
    <row r="5" spans="1:18">
      <c r="A5" s="1" t="s">
        <v>185</v>
      </c>
    </row>
    <row r="6" spans="1:18">
      <c r="B6" s="6" t="s">
        <v>186</v>
      </c>
      <c r="C6" s="7">
        <v>45170</v>
      </c>
      <c r="D6" s="7">
        <v>45200</v>
      </c>
      <c r="E6" s="7">
        <v>45231</v>
      </c>
      <c r="F6" s="7">
        <v>45261</v>
      </c>
      <c r="G6" s="7">
        <v>45292</v>
      </c>
      <c r="H6" s="7">
        <v>45323</v>
      </c>
      <c r="I6" s="7">
        <v>45352</v>
      </c>
      <c r="J6" s="7">
        <v>45383</v>
      </c>
      <c r="K6" s="7">
        <v>45413</v>
      </c>
      <c r="L6" s="7">
        <v>45444</v>
      </c>
      <c r="M6" s="7">
        <v>45474</v>
      </c>
      <c r="N6" s="7">
        <v>45505</v>
      </c>
      <c r="O6" s="7">
        <v>45536</v>
      </c>
      <c r="P6" s="7">
        <v>45566</v>
      </c>
      <c r="Q6" s="7">
        <v>45597</v>
      </c>
    </row>
    <row r="7" spans="1:18">
      <c r="B7" s="8" t="s">
        <v>187</v>
      </c>
      <c r="C7" s="9">
        <v>85</v>
      </c>
      <c r="D7" s="9">
        <v>86</v>
      </c>
      <c r="E7" s="9">
        <v>129</v>
      </c>
      <c r="F7" s="9">
        <v>107</v>
      </c>
      <c r="G7" s="9">
        <v>141</v>
      </c>
      <c r="H7" s="9">
        <v>95</v>
      </c>
      <c r="I7" s="9">
        <v>58</v>
      </c>
      <c r="J7" s="9">
        <v>9</v>
      </c>
      <c r="K7" s="9">
        <v>12</v>
      </c>
      <c r="L7" s="9">
        <v>11</v>
      </c>
      <c r="M7" s="9">
        <v>7</v>
      </c>
      <c r="N7" s="9">
        <v>1</v>
      </c>
      <c r="O7" s="9">
        <v>3</v>
      </c>
      <c r="P7" s="9">
        <v>2</v>
      </c>
      <c r="Q7" s="9">
        <v>1</v>
      </c>
    </row>
    <row r="8" spans="1:18">
      <c r="B8" s="8" t="s">
        <v>188</v>
      </c>
      <c r="C8" s="9">
        <v>617</v>
      </c>
      <c r="D8" s="9">
        <v>882</v>
      </c>
      <c r="E8" s="9">
        <v>939</v>
      </c>
      <c r="F8" s="9">
        <v>633</v>
      </c>
      <c r="G8" s="9">
        <v>546</v>
      </c>
      <c r="H8" s="9">
        <v>281</v>
      </c>
      <c r="I8" s="9">
        <v>270</v>
      </c>
      <c r="J8" s="9">
        <v>143</v>
      </c>
      <c r="K8" s="9">
        <v>170</v>
      </c>
      <c r="L8" s="9">
        <v>235</v>
      </c>
      <c r="M8" s="9">
        <v>107</v>
      </c>
      <c r="N8" s="9">
        <v>15</v>
      </c>
      <c r="O8" s="9">
        <v>39</v>
      </c>
      <c r="P8" s="9">
        <v>64</v>
      </c>
      <c r="Q8" s="9">
        <v>42</v>
      </c>
    </row>
    <row r="9" spans="1:18">
      <c r="B9" s="8" t="s">
        <v>189</v>
      </c>
      <c r="C9" s="9">
        <v>1335</v>
      </c>
      <c r="D9" s="9">
        <v>2128</v>
      </c>
      <c r="E9" s="9">
        <v>2613</v>
      </c>
      <c r="F9" s="9">
        <v>1751</v>
      </c>
      <c r="G9" s="9">
        <v>1271</v>
      </c>
      <c r="H9" s="9">
        <v>818</v>
      </c>
      <c r="I9" s="9">
        <v>1023</v>
      </c>
      <c r="J9" s="9">
        <v>675</v>
      </c>
      <c r="K9" s="9">
        <v>796</v>
      </c>
      <c r="L9" s="9">
        <v>906</v>
      </c>
      <c r="M9" s="9">
        <v>545</v>
      </c>
      <c r="N9" s="9">
        <v>304</v>
      </c>
      <c r="O9" s="9">
        <v>485</v>
      </c>
      <c r="P9" s="9">
        <v>471</v>
      </c>
      <c r="Q9" s="9">
        <v>109</v>
      </c>
    </row>
    <row r="10" spans="1:18">
      <c r="B10" s="8" t="s">
        <v>190</v>
      </c>
      <c r="C10" s="9">
        <v>3891</v>
      </c>
      <c r="D10" s="9">
        <v>6093</v>
      </c>
      <c r="E10" s="9">
        <v>7893</v>
      </c>
      <c r="F10" s="9">
        <v>5984</v>
      </c>
      <c r="G10" s="9">
        <v>4411</v>
      </c>
      <c r="H10" s="9">
        <v>3450</v>
      </c>
      <c r="I10" s="9">
        <v>4847</v>
      </c>
      <c r="J10" s="9">
        <v>3005</v>
      </c>
      <c r="K10" s="9">
        <v>2853</v>
      </c>
      <c r="L10" s="9">
        <v>3109</v>
      </c>
      <c r="M10" s="9">
        <v>2618</v>
      </c>
      <c r="N10" s="9">
        <v>2089</v>
      </c>
      <c r="O10" s="9">
        <v>3354</v>
      </c>
      <c r="P10" s="9">
        <v>2431</v>
      </c>
      <c r="Q10" s="9">
        <v>459</v>
      </c>
    </row>
    <row r="11" spans="1:18">
      <c r="B11" s="8" t="s">
        <v>191</v>
      </c>
      <c r="C11" s="9">
        <v>10479</v>
      </c>
      <c r="D11" s="9">
        <v>15755</v>
      </c>
      <c r="E11" s="9">
        <v>20797</v>
      </c>
      <c r="F11" s="9">
        <v>17490</v>
      </c>
      <c r="G11" s="9">
        <v>14833</v>
      </c>
      <c r="H11" s="9">
        <v>11965</v>
      </c>
      <c r="I11" s="9">
        <v>15312</v>
      </c>
      <c r="J11" s="9">
        <v>10316</v>
      </c>
      <c r="K11" s="9">
        <v>8542</v>
      </c>
      <c r="L11" s="9">
        <v>9721</v>
      </c>
      <c r="M11" s="9">
        <v>9475</v>
      </c>
      <c r="N11" s="9">
        <v>8632</v>
      </c>
      <c r="O11" s="9">
        <v>12089</v>
      </c>
      <c r="P11" s="9">
        <v>10427</v>
      </c>
      <c r="Q11" s="9">
        <v>2133</v>
      </c>
    </row>
    <row r="12" spans="1:18">
      <c r="B12" s="8" t="s">
        <v>192</v>
      </c>
      <c r="C12" s="9">
        <v>23008</v>
      </c>
      <c r="D12" s="9">
        <v>31931</v>
      </c>
      <c r="E12" s="9">
        <v>43278</v>
      </c>
      <c r="F12" s="9">
        <v>40096</v>
      </c>
      <c r="G12" s="9">
        <v>36561</v>
      </c>
      <c r="H12" s="9">
        <v>29627</v>
      </c>
      <c r="I12" s="9">
        <v>37951</v>
      </c>
      <c r="J12" s="9">
        <v>28874</v>
      </c>
      <c r="K12" s="9">
        <v>23151</v>
      </c>
      <c r="L12" s="9">
        <v>26265</v>
      </c>
      <c r="M12" s="9">
        <v>29145</v>
      </c>
      <c r="N12" s="9">
        <v>26758</v>
      </c>
      <c r="O12" s="9">
        <v>31496</v>
      </c>
      <c r="P12" s="9">
        <v>33146</v>
      </c>
      <c r="Q12" s="9">
        <v>7426</v>
      </c>
    </row>
    <row r="13" spans="1:18">
      <c r="B13" s="8" t="s">
        <v>193</v>
      </c>
      <c r="C13" s="9">
        <v>32477</v>
      </c>
      <c r="D13" s="9">
        <v>41690</v>
      </c>
      <c r="E13" s="9">
        <v>55279</v>
      </c>
      <c r="F13" s="9">
        <v>55988</v>
      </c>
      <c r="G13" s="9">
        <v>55745</v>
      </c>
      <c r="H13" s="9">
        <v>44789</v>
      </c>
      <c r="I13" s="9">
        <v>56987</v>
      </c>
      <c r="J13" s="9">
        <v>50876</v>
      </c>
      <c r="K13" s="9">
        <v>41827</v>
      </c>
      <c r="L13" s="9">
        <v>43068</v>
      </c>
      <c r="M13" s="9">
        <v>50941</v>
      </c>
      <c r="N13" s="9">
        <v>49661</v>
      </c>
      <c r="O13" s="9">
        <v>49511</v>
      </c>
      <c r="P13" s="9">
        <v>51908</v>
      </c>
      <c r="Q13" s="9">
        <v>12281</v>
      </c>
    </row>
    <row r="14" spans="1:18">
      <c r="B14" s="8" t="s">
        <v>194</v>
      </c>
      <c r="C14" s="9">
        <v>21151</v>
      </c>
      <c r="D14" s="9">
        <v>25360</v>
      </c>
      <c r="E14" s="9">
        <v>28884</v>
      </c>
      <c r="F14" s="9">
        <v>31121</v>
      </c>
      <c r="G14" s="9">
        <v>34744</v>
      </c>
      <c r="H14" s="9">
        <v>26895</v>
      </c>
      <c r="I14" s="9">
        <v>32991</v>
      </c>
      <c r="J14" s="9">
        <v>35052</v>
      </c>
      <c r="K14" s="9">
        <v>29480</v>
      </c>
      <c r="L14" s="9">
        <v>28128</v>
      </c>
      <c r="M14" s="9">
        <v>33854</v>
      </c>
      <c r="N14" s="9">
        <v>32713</v>
      </c>
      <c r="O14" s="9">
        <v>30203</v>
      </c>
      <c r="P14" s="9">
        <v>28512</v>
      </c>
      <c r="Q14" s="9">
        <v>6756</v>
      </c>
    </row>
    <row r="15" spans="1:18">
      <c r="B15" s="8" t="s">
        <v>195</v>
      </c>
      <c r="C15" s="9">
        <v>7717</v>
      </c>
      <c r="D15" s="9">
        <v>8858</v>
      </c>
      <c r="E15" s="9">
        <v>8511</v>
      </c>
      <c r="F15" s="9">
        <v>9169</v>
      </c>
      <c r="G15" s="9">
        <v>10259</v>
      </c>
      <c r="H15" s="9">
        <v>7823</v>
      </c>
      <c r="I15" s="9">
        <v>8962</v>
      </c>
      <c r="J15" s="9">
        <v>10871</v>
      </c>
      <c r="K15" s="9">
        <v>9915</v>
      </c>
      <c r="L15" s="9">
        <v>9142</v>
      </c>
      <c r="M15" s="9">
        <v>9850</v>
      </c>
      <c r="N15" s="9">
        <v>9071</v>
      </c>
      <c r="O15" s="9">
        <v>8357</v>
      </c>
      <c r="P15" s="9">
        <v>7743</v>
      </c>
      <c r="Q15" s="9">
        <v>1871</v>
      </c>
    </row>
    <row r="16" spans="1:18">
      <c r="B16" s="8" t="s">
        <v>196</v>
      </c>
      <c r="C16" s="9">
        <v>1262</v>
      </c>
      <c r="D16" s="9">
        <v>1431</v>
      </c>
      <c r="E16" s="9">
        <v>1328</v>
      </c>
      <c r="F16" s="9">
        <v>1422</v>
      </c>
      <c r="G16" s="9">
        <v>1463</v>
      </c>
      <c r="H16" s="9">
        <v>1029</v>
      </c>
      <c r="I16" s="9">
        <v>1101</v>
      </c>
      <c r="J16" s="9">
        <v>1296</v>
      </c>
      <c r="K16" s="9">
        <v>1314</v>
      </c>
      <c r="L16" s="9">
        <v>1160</v>
      </c>
      <c r="M16" s="9">
        <v>1099</v>
      </c>
      <c r="N16" s="9">
        <v>925</v>
      </c>
      <c r="O16" s="9">
        <v>848</v>
      </c>
      <c r="P16" s="9">
        <v>729</v>
      </c>
      <c r="Q16" s="9">
        <v>179</v>
      </c>
    </row>
    <row r="17" spans="1:17">
      <c r="B17" s="8" t="s">
        <v>197</v>
      </c>
      <c r="C17" s="10">
        <v>102022</v>
      </c>
      <c r="D17" s="10">
        <v>134214</v>
      </c>
      <c r="E17" s="10">
        <v>169651</v>
      </c>
      <c r="F17" s="10">
        <v>163761</v>
      </c>
      <c r="G17" s="10">
        <v>159974</v>
      </c>
      <c r="H17" s="10">
        <v>126772</v>
      </c>
      <c r="I17" s="10">
        <v>159502</v>
      </c>
      <c r="J17" s="10">
        <v>141117</v>
      </c>
      <c r="K17" s="10">
        <v>118060</v>
      </c>
      <c r="L17" s="10">
        <v>121745</v>
      </c>
      <c r="M17" s="10">
        <v>137641</v>
      </c>
      <c r="N17" s="10">
        <v>130169</v>
      </c>
      <c r="O17" s="10">
        <v>136385</v>
      </c>
      <c r="P17" s="10">
        <v>135433</v>
      </c>
      <c r="Q17" s="10">
        <v>31257</v>
      </c>
    </row>
    <row r="18" spans="1:17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1"/>
      <c r="P18" s="11"/>
      <c r="Q18" s="12"/>
    </row>
    <row r="19" spans="1:17">
      <c r="B19" s="6" t="s">
        <v>186</v>
      </c>
      <c r="C19" s="7">
        <v>45170</v>
      </c>
      <c r="D19" s="7">
        <v>45200</v>
      </c>
      <c r="E19" s="7">
        <v>45231</v>
      </c>
      <c r="F19" s="7">
        <v>45261</v>
      </c>
      <c r="G19" s="7">
        <v>45292</v>
      </c>
      <c r="H19" s="7">
        <v>45323</v>
      </c>
      <c r="I19" s="7">
        <v>45352</v>
      </c>
      <c r="J19" s="7">
        <v>45383</v>
      </c>
      <c r="K19" s="7">
        <v>45413</v>
      </c>
      <c r="L19" s="7">
        <v>45444</v>
      </c>
      <c r="M19" s="7">
        <v>45474</v>
      </c>
      <c r="N19" s="7">
        <v>45505</v>
      </c>
      <c r="O19" s="7">
        <v>45536</v>
      </c>
      <c r="P19" s="7">
        <v>45566</v>
      </c>
      <c r="Q19" s="7">
        <v>45597</v>
      </c>
    </row>
    <row r="20" spans="1:17">
      <c r="B20" s="8" t="s">
        <v>187</v>
      </c>
      <c r="C20" s="13">
        <v>0.000833153633530023</v>
      </c>
      <c r="D20" s="13">
        <v>0.000640767729148971</v>
      </c>
      <c r="E20" s="13">
        <v>0.000760384554172979</v>
      </c>
      <c r="F20" s="13">
        <v>0.000653391222574361</v>
      </c>
      <c r="G20" s="13">
        <v>0.00088139322639929</v>
      </c>
      <c r="H20" s="13">
        <v>0.000749376834001199</v>
      </c>
      <c r="I20" s="13">
        <v>0.000363631803989919</v>
      </c>
      <c r="J20" s="13">
        <v>6.37768660048045e-5</v>
      </c>
      <c r="K20" s="13">
        <v>0.000101643232254786</v>
      </c>
      <c r="L20" s="13">
        <v>9.03527865620765e-5</v>
      </c>
      <c r="M20" s="13">
        <v>5.08569394293851e-5</v>
      </c>
      <c r="N20" s="13">
        <v>7.68232067542963e-6</v>
      </c>
      <c r="O20" s="13">
        <v>2.19965538732265e-5</v>
      </c>
      <c r="P20" s="13">
        <v>1.4767449587619e-5</v>
      </c>
      <c r="Q20" s="13">
        <v>3.19928336052724e-5</v>
      </c>
    </row>
    <row r="21" spans="1:17">
      <c r="B21" s="8" t="s">
        <v>188</v>
      </c>
      <c r="C21" s="13">
        <v>0.00604771519868264</v>
      </c>
      <c r="D21" s="13">
        <v>0.00657159461755108</v>
      </c>
      <c r="E21" s="13">
        <v>0.00553489221991029</v>
      </c>
      <c r="F21" s="13">
        <v>0.00386538919522963</v>
      </c>
      <c r="G21" s="13">
        <v>0.00341305462137597</v>
      </c>
      <c r="H21" s="13">
        <v>0.00221657779320355</v>
      </c>
      <c r="I21" s="13">
        <v>0.00169276874271169</v>
      </c>
      <c r="J21" s="13">
        <v>0.00101334353763189</v>
      </c>
      <c r="K21" s="13">
        <v>0.00143994579027613</v>
      </c>
      <c r="L21" s="13">
        <v>0.00193026407655345</v>
      </c>
      <c r="M21" s="13">
        <v>0.000777384645563459</v>
      </c>
      <c r="N21" s="13">
        <v>0.000115234810131445</v>
      </c>
      <c r="O21" s="13">
        <v>0.000285955200351945</v>
      </c>
      <c r="P21" s="13">
        <v>0.000472558386803807</v>
      </c>
      <c r="Q21" s="13">
        <v>0.00134369901142144</v>
      </c>
    </row>
    <row r="22" spans="1:17">
      <c r="B22" s="8" t="s">
        <v>189</v>
      </c>
      <c r="C22" s="13">
        <v>0.013085412950148</v>
      </c>
      <c r="D22" s="13">
        <v>0.0158552759026629</v>
      </c>
      <c r="E22" s="13">
        <v>0.0154022080624341</v>
      </c>
      <c r="F22" s="13">
        <v>0.0106924115021281</v>
      </c>
      <c r="G22" s="13">
        <v>0.00794504106917374</v>
      </c>
      <c r="H22" s="13">
        <v>0.00645252894961032</v>
      </c>
      <c r="I22" s="13">
        <v>0.00641371268071874</v>
      </c>
      <c r="J22" s="13">
        <v>0.00478326495036034</v>
      </c>
      <c r="K22" s="13">
        <v>0.00674233440623412</v>
      </c>
      <c r="L22" s="13">
        <v>0.00744178405684012</v>
      </c>
      <c r="M22" s="13">
        <v>0.0039595759984307</v>
      </c>
      <c r="N22" s="13">
        <v>0.00233542548533061</v>
      </c>
      <c r="O22" s="13">
        <v>0.00355610954283829</v>
      </c>
      <c r="P22" s="13">
        <v>0.00347773437788427</v>
      </c>
      <c r="Q22" s="13">
        <v>0.00348721886297469</v>
      </c>
    </row>
    <row r="23" spans="1:17">
      <c r="B23" s="8" t="s">
        <v>190</v>
      </c>
      <c r="C23" s="13">
        <v>0.0381388328007685</v>
      </c>
      <c r="D23" s="13">
        <v>0.0453976485314498</v>
      </c>
      <c r="E23" s="13">
        <v>0.0465249246983513</v>
      </c>
      <c r="F23" s="13">
        <v>0.0365410567839718</v>
      </c>
      <c r="G23" s="13">
        <v>0.0275732306499806</v>
      </c>
      <c r="H23" s="13">
        <v>0.0272142113400435</v>
      </c>
      <c r="I23" s="13">
        <v>0.0303883336886058</v>
      </c>
      <c r="J23" s="13">
        <v>0.0212943869271597</v>
      </c>
      <c r="K23" s="13">
        <v>0.0241656784685753</v>
      </c>
      <c r="L23" s="13">
        <v>0.0255369830383178</v>
      </c>
      <c r="M23" s="13">
        <v>0.01902049534659</v>
      </c>
      <c r="N23" s="13">
        <v>0.0160483678909725</v>
      </c>
      <c r="O23" s="13">
        <v>0.0245921472302673</v>
      </c>
      <c r="P23" s="13">
        <v>0.0179498349737509</v>
      </c>
      <c r="Q23" s="13">
        <v>0.01468471062482</v>
      </c>
    </row>
    <row r="24" spans="1:17">
      <c r="B24" s="8" t="s">
        <v>191</v>
      </c>
      <c r="C24" s="13">
        <v>0.102713140303072</v>
      </c>
      <c r="D24" s="13">
        <v>0.117387157822582</v>
      </c>
      <c r="E24" s="13">
        <v>0.122586957931282</v>
      </c>
      <c r="F24" s="13">
        <v>0.1068019858208</v>
      </c>
      <c r="G24" s="13">
        <v>0.0927213172140473</v>
      </c>
      <c r="H24" s="13">
        <v>0.094382040198151</v>
      </c>
      <c r="I24" s="13">
        <v>0.0959987962533385</v>
      </c>
      <c r="J24" s="13">
        <v>0.0731024610783959</v>
      </c>
      <c r="K24" s="13">
        <v>0.0723530408266983</v>
      </c>
      <c r="L24" s="13">
        <v>0.0798472216518132</v>
      </c>
      <c r="M24" s="13">
        <v>0.0688385001562035</v>
      </c>
      <c r="N24" s="13">
        <v>0.0663137920703086</v>
      </c>
      <c r="O24" s="13">
        <v>0.0886387799244785</v>
      </c>
      <c r="P24" s="13">
        <v>0.0769900984250515</v>
      </c>
      <c r="Q24" s="13">
        <v>0.0682407140800461</v>
      </c>
    </row>
    <row r="25" spans="1:17">
      <c r="B25" s="8" t="s">
        <v>192</v>
      </c>
      <c r="C25" s="13">
        <v>0.225519985885397</v>
      </c>
      <c r="D25" s="13">
        <v>0.237911097202974</v>
      </c>
      <c r="E25" s="13">
        <v>0.255100176244172</v>
      </c>
      <c r="F25" s="13">
        <v>0.244844621124688</v>
      </c>
      <c r="G25" s="13">
        <v>0.228543388300599</v>
      </c>
      <c r="H25" s="13">
        <v>0.233703025904774</v>
      </c>
      <c r="I25" s="13">
        <v>0.237934320572783</v>
      </c>
      <c r="J25" s="13">
        <v>0.204610358780303</v>
      </c>
      <c r="K25" s="13">
        <v>0.196095205827545</v>
      </c>
      <c r="L25" s="13">
        <v>0.215737812641176</v>
      </c>
      <c r="M25" s="13">
        <v>0.211746499952776</v>
      </c>
      <c r="N25" s="13">
        <v>0.205563536633146</v>
      </c>
      <c r="O25" s="13">
        <v>0.230934486930381</v>
      </c>
      <c r="P25" s="13">
        <v>0.244740942015609</v>
      </c>
      <c r="Q25" s="13">
        <v>0.237578782352753</v>
      </c>
    </row>
    <row r="26" spans="1:17">
      <c r="B26" s="8" t="s">
        <v>193</v>
      </c>
      <c r="C26" s="13">
        <v>0.318333300660642</v>
      </c>
      <c r="D26" s="13">
        <v>0.310623332886286</v>
      </c>
      <c r="E26" s="13">
        <v>0.325839517597892</v>
      </c>
      <c r="F26" s="13">
        <v>0.341888483827041</v>
      </c>
      <c r="G26" s="13">
        <v>0.348462875217223</v>
      </c>
      <c r="H26" s="13">
        <v>0.353303568611365</v>
      </c>
      <c r="I26" s="13">
        <v>0.357280786447819</v>
      </c>
      <c r="J26" s="13">
        <v>0.360523537206715</v>
      </c>
      <c r="K26" s="13">
        <v>0.35428595629341</v>
      </c>
      <c r="L26" s="13">
        <v>0.353755801059592</v>
      </c>
      <c r="M26" s="13">
        <v>0.370100478781758</v>
      </c>
      <c r="N26" s="13">
        <v>0.381511727062511</v>
      </c>
      <c r="O26" s="13">
        <v>0.363023792939106</v>
      </c>
      <c r="P26" s="13">
        <v>0.383274386597063</v>
      </c>
      <c r="Q26" s="13">
        <v>0.392903989506351</v>
      </c>
    </row>
    <row r="27" spans="1:17">
      <c r="B27" s="8" t="s">
        <v>194</v>
      </c>
      <c r="C27" s="13">
        <v>0.20731802944463</v>
      </c>
      <c r="D27" s="13">
        <v>0.188951972223464</v>
      </c>
      <c r="E27" s="13">
        <v>0.170255406687847</v>
      </c>
      <c r="F27" s="13">
        <v>0.190039142408754</v>
      </c>
      <c r="G27" s="13">
        <v>0.217185292610049</v>
      </c>
      <c r="H27" s="13">
        <v>0.212152525794339</v>
      </c>
      <c r="I27" s="13">
        <v>0.206837531817783</v>
      </c>
      <c r="J27" s="13">
        <v>0.248389634133379</v>
      </c>
      <c r="K27" s="13">
        <v>0.24970354057259</v>
      </c>
      <c r="L27" s="13">
        <v>0.231040289128917</v>
      </c>
      <c r="M27" s="13">
        <v>0.245958689634629</v>
      </c>
      <c r="N27" s="13">
        <v>0.25131175625533</v>
      </c>
      <c r="O27" s="13">
        <v>0.22145397221102</v>
      </c>
      <c r="P27" s="13">
        <v>0.210524761321096</v>
      </c>
      <c r="Q27" s="13">
        <v>0.21614358383722</v>
      </c>
    </row>
    <row r="28" spans="1:17">
      <c r="B28" s="8" t="s">
        <v>195</v>
      </c>
      <c r="C28" s="13">
        <v>0.0756405481170728</v>
      </c>
      <c r="D28" s="13">
        <v>0.065999076102344</v>
      </c>
      <c r="E28" s="13">
        <v>0.0501676972136916</v>
      </c>
      <c r="F28" s="13">
        <v>0.0559901319606011</v>
      </c>
      <c r="G28" s="13">
        <v>0.0641291709902859</v>
      </c>
      <c r="H28" s="13">
        <v>0.0617092102356987</v>
      </c>
      <c r="I28" s="13">
        <v>0.0561873832303043</v>
      </c>
      <c r="J28" s="13">
        <v>0.0770353678153589</v>
      </c>
      <c r="K28" s="13">
        <v>0.0839827206505167</v>
      </c>
      <c r="L28" s="13">
        <v>0.075091379522773</v>
      </c>
      <c r="M28" s="13">
        <v>0.0715629790542062</v>
      </c>
      <c r="N28" s="13">
        <v>0.0696863308468222</v>
      </c>
      <c r="O28" s="13">
        <v>0.0612750669061847</v>
      </c>
      <c r="P28" s="13">
        <v>0.0571721810784668</v>
      </c>
      <c r="Q28" s="13">
        <v>0.0598585916754647</v>
      </c>
    </row>
    <row r="29" spans="1:17">
      <c r="B29" s="8" t="s">
        <v>196</v>
      </c>
      <c r="C29" s="13">
        <v>0.0123698810060575</v>
      </c>
      <c r="D29" s="13">
        <v>0.0106620769815369</v>
      </c>
      <c r="E29" s="13">
        <v>0.00782783479024586</v>
      </c>
      <c r="F29" s="13">
        <v>0.00868338615421254</v>
      </c>
      <c r="G29" s="13">
        <v>0.00914523610086639</v>
      </c>
      <c r="H29" s="13">
        <v>0.00811693433881299</v>
      </c>
      <c r="I29" s="13">
        <v>0.00690273476194656</v>
      </c>
      <c r="J29" s="13">
        <v>0.00918386870469185</v>
      </c>
      <c r="K29" s="13">
        <v>0.011129933931899</v>
      </c>
      <c r="L29" s="13">
        <v>0.00952811203745534</v>
      </c>
      <c r="M29" s="13">
        <v>0.00798453949041347</v>
      </c>
      <c r="N29" s="13">
        <v>0.00710614662477241</v>
      </c>
      <c r="O29" s="13">
        <v>0.0062176925614987</v>
      </c>
      <c r="P29" s="13">
        <v>0.00538273537468711</v>
      </c>
      <c r="Q29" s="13">
        <v>0.00572671721534376</v>
      </c>
    </row>
    <row r="31" spans="1:17">
      <c r="A31" s="1" t="s">
        <v>198</v>
      </c>
    </row>
    <row r="32" spans="1:17">
      <c r="B32" s="8" t="s">
        <v>199</v>
      </c>
    </row>
    <row r="33" spans="2:17">
      <c r="B33" s="6" t="s">
        <v>186</v>
      </c>
      <c r="C33" s="7">
        <v>45170</v>
      </c>
      <c r="D33" s="7">
        <v>45200</v>
      </c>
      <c r="E33" s="7">
        <v>45231</v>
      </c>
      <c r="F33" s="7">
        <v>45261</v>
      </c>
      <c r="G33" s="7">
        <v>45292</v>
      </c>
      <c r="H33" s="7">
        <v>45323</v>
      </c>
      <c r="I33" s="7">
        <v>45352</v>
      </c>
      <c r="J33" s="7">
        <v>45383</v>
      </c>
      <c r="K33" s="7">
        <v>45413</v>
      </c>
      <c r="L33" s="7">
        <v>45444</v>
      </c>
      <c r="M33" s="7">
        <v>45474</v>
      </c>
      <c r="N33" s="7">
        <v>45505</v>
      </c>
      <c r="O33" s="7">
        <v>45536</v>
      </c>
      <c r="P33" s="7">
        <v>45566</v>
      </c>
    </row>
    <row r="34" spans="2:17">
      <c r="B34" s="8" t="s">
        <v>187</v>
      </c>
      <c r="C34" s="9">
        <v>85</v>
      </c>
      <c r="D34" s="9">
        <v>86</v>
      </c>
      <c r="E34" s="9">
        <v>129</v>
      </c>
      <c r="F34" s="9">
        <v>107</v>
      </c>
      <c r="G34" s="9">
        <v>141</v>
      </c>
      <c r="H34" s="9">
        <v>95</v>
      </c>
      <c r="I34" s="9">
        <v>58</v>
      </c>
      <c r="J34" s="9">
        <v>9</v>
      </c>
      <c r="K34" s="9">
        <v>12</v>
      </c>
      <c r="L34" s="9">
        <v>11</v>
      </c>
      <c r="M34" s="9">
        <v>7</v>
      </c>
      <c r="N34" s="9">
        <v>1</v>
      </c>
      <c r="O34" s="9">
        <v>3</v>
      </c>
      <c r="P34" s="9">
        <v>2</v>
      </c>
    </row>
    <row r="35" spans="2:17">
      <c r="B35" s="8" t="s">
        <v>188</v>
      </c>
      <c r="C35" s="9">
        <v>617</v>
      </c>
      <c r="D35" s="9">
        <v>882</v>
      </c>
      <c r="E35" s="9">
        <v>939</v>
      </c>
      <c r="F35" s="9">
        <v>633</v>
      </c>
      <c r="G35" s="9">
        <v>546</v>
      </c>
      <c r="H35" s="9">
        <v>281</v>
      </c>
      <c r="I35" s="9">
        <v>270</v>
      </c>
      <c r="J35" s="9">
        <v>143</v>
      </c>
      <c r="K35" s="9">
        <v>170</v>
      </c>
      <c r="L35" s="9">
        <v>235</v>
      </c>
      <c r="M35" s="9">
        <v>107</v>
      </c>
      <c r="N35" s="9">
        <v>15</v>
      </c>
      <c r="O35" s="9">
        <v>39</v>
      </c>
      <c r="P35" s="9">
        <v>64</v>
      </c>
    </row>
    <row r="36" spans="2:17">
      <c r="B36" s="8" t="s">
        <v>189</v>
      </c>
      <c r="C36" s="9">
        <v>1335</v>
      </c>
      <c r="D36" s="9">
        <v>2128</v>
      </c>
      <c r="E36" s="9">
        <v>2613</v>
      </c>
      <c r="F36" s="9">
        <v>1751</v>
      </c>
      <c r="G36" s="9">
        <v>1271</v>
      </c>
      <c r="H36" s="9">
        <v>818</v>
      </c>
      <c r="I36" s="9">
        <v>1023</v>
      </c>
      <c r="J36" s="9">
        <v>675</v>
      </c>
      <c r="K36" s="9">
        <v>796</v>
      </c>
      <c r="L36" s="9">
        <v>906</v>
      </c>
      <c r="M36" s="9">
        <v>545</v>
      </c>
      <c r="N36" s="9">
        <v>304</v>
      </c>
      <c r="O36" s="9">
        <v>485</v>
      </c>
      <c r="P36" s="9">
        <v>471</v>
      </c>
    </row>
    <row r="37" spans="2:17">
      <c r="B37" s="8" t="s">
        <v>190</v>
      </c>
      <c r="C37" s="9">
        <v>3891</v>
      </c>
      <c r="D37" s="9">
        <v>6093</v>
      </c>
      <c r="E37" s="9">
        <v>7893</v>
      </c>
      <c r="F37" s="9">
        <v>5984</v>
      </c>
      <c r="G37" s="9">
        <v>4411</v>
      </c>
      <c r="H37" s="9">
        <v>3450</v>
      </c>
      <c r="I37" s="9">
        <v>4847</v>
      </c>
      <c r="J37" s="9">
        <v>3005</v>
      </c>
      <c r="K37" s="9">
        <v>2853</v>
      </c>
      <c r="L37" s="9">
        <v>3109</v>
      </c>
      <c r="M37" s="9">
        <v>2618</v>
      </c>
      <c r="N37" s="9">
        <v>2089</v>
      </c>
      <c r="O37" s="9">
        <v>3354</v>
      </c>
      <c r="P37" s="9">
        <v>2431</v>
      </c>
    </row>
    <row r="38" spans="2:17">
      <c r="B38" s="8" t="s">
        <v>191</v>
      </c>
      <c r="C38" s="9">
        <v>10479</v>
      </c>
      <c r="D38" s="9">
        <v>15755</v>
      </c>
      <c r="E38" s="9">
        <v>20797</v>
      </c>
      <c r="F38" s="9">
        <v>17490</v>
      </c>
      <c r="G38" s="9">
        <v>14833</v>
      </c>
      <c r="H38" s="9">
        <v>11965</v>
      </c>
      <c r="I38" s="9">
        <v>15312</v>
      </c>
      <c r="J38" s="9">
        <v>10316</v>
      </c>
      <c r="K38" s="9">
        <v>8542</v>
      </c>
      <c r="L38" s="9">
        <v>9721</v>
      </c>
      <c r="M38" s="9">
        <v>9475</v>
      </c>
      <c r="N38" s="9">
        <v>8632</v>
      </c>
      <c r="O38" s="9">
        <v>12089</v>
      </c>
      <c r="P38" s="9">
        <v>10427</v>
      </c>
    </row>
    <row r="39" spans="2:17">
      <c r="B39" s="8" t="s">
        <v>192</v>
      </c>
      <c r="C39" s="9">
        <v>23008</v>
      </c>
      <c r="D39" s="9">
        <v>31931</v>
      </c>
      <c r="E39" s="9">
        <v>43278</v>
      </c>
      <c r="F39" s="9">
        <v>40096</v>
      </c>
      <c r="G39" s="9">
        <v>36561</v>
      </c>
      <c r="H39" s="9">
        <v>29627</v>
      </c>
      <c r="I39" s="9">
        <v>37951</v>
      </c>
      <c r="J39" s="9">
        <v>28874</v>
      </c>
      <c r="K39" s="9">
        <v>23151</v>
      </c>
      <c r="L39" s="9">
        <v>26265</v>
      </c>
      <c r="M39" s="9">
        <v>29145</v>
      </c>
      <c r="N39" s="9">
        <v>26758</v>
      </c>
      <c r="O39" s="9">
        <v>31496</v>
      </c>
      <c r="P39" s="9">
        <v>33146</v>
      </c>
    </row>
    <row r="40" spans="2:17">
      <c r="B40" s="8" t="s">
        <v>193</v>
      </c>
      <c r="C40" s="9">
        <v>32477</v>
      </c>
      <c r="D40" s="9">
        <v>41690</v>
      </c>
      <c r="E40" s="9">
        <v>55279</v>
      </c>
      <c r="F40" s="9">
        <v>55988</v>
      </c>
      <c r="G40" s="9">
        <v>55745</v>
      </c>
      <c r="H40" s="9">
        <v>44789</v>
      </c>
      <c r="I40" s="9">
        <v>56987</v>
      </c>
      <c r="J40" s="9">
        <v>50876</v>
      </c>
      <c r="K40" s="9">
        <v>41827</v>
      </c>
      <c r="L40" s="9">
        <v>43068</v>
      </c>
      <c r="M40" s="9">
        <v>50941</v>
      </c>
      <c r="N40" s="9">
        <v>49661</v>
      </c>
      <c r="O40" s="9">
        <v>49511</v>
      </c>
      <c r="P40" s="9">
        <v>51908</v>
      </c>
    </row>
    <row r="41" spans="2:17">
      <c r="B41" s="8" t="s">
        <v>194</v>
      </c>
      <c r="C41" s="9">
        <v>21151</v>
      </c>
      <c r="D41" s="9">
        <v>25360</v>
      </c>
      <c r="E41" s="9">
        <v>28884</v>
      </c>
      <c r="F41" s="9">
        <v>31121</v>
      </c>
      <c r="G41" s="9">
        <v>34744</v>
      </c>
      <c r="H41" s="9">
        <v>26895</v>
      </c>
      <c r="I41" s="9">
        <v>32991</v>
      </c>
      <c r="J41" s="9">
        <v>35052</v>
      </c>
      <c r="K41" s="9">
        <v>29480</v>
      </c>
      <c r="L41" s="9">
        <v>28128</v>
      </c>
      <c r="M41" s="9">
        <v>33854</v>
      </c>
      <c r="N41" s="9">
        <v>32713</v>
      </c>
      <c r="O41" s="9">
        <v>30203</v>
      </c>
      <c r="P41" s="9">
        <v>28512</v>
      </c>
    </row>
    <row r="42" spans="2:17">
      <c r="B42" s="8" t="s">
        <v>195</v>
      </c>
      <c r="C42" s="9">
        <v>7717</v>
      </c>
      <c r="D42" s="9">
        <v>8858</v>
      </c>
      <c r="E42" s="9">
        <v>8511</v>
      </c>
      <c r="F42" s="9">
        <v>9169</v>
      </c>
      <c r="G42" s="9">
        <v>10259</v>
      </c>
      <c r="H42" s="9">
        <v>7823</v>
      </c>
      <c r="I42" s="9">
        <v>8962</v>
      </c>
      <c r="J42" s="9">
        <v>10871</v>
      </c>
      <c r="K42" s="9">
        <v>9915</v>
      </c>
      <c r="L42" s="9">
        <v>9142</v>
      </c>
      <c r="M42" s="9">
        <v>9850</v>
      </c>
      <c r="N42" s="9">
        <v>9071</v>
      </c>
      <c r="O42" s="9">
        <v>8357</v>
      </c>
      <c r="P42" s="9">
        <v>7743</v>
      </c>
    </row>
    <row r="43" spans="2:17">
      <c r="B43" s="8" t="s">
        <v>196</v>
      </c>
      <c r="C43" s="9">
        <v>1262</v>
      </c>
      <c r="D43" s="9">
        <v>1431</v>
      </c>
      <c r="E43" s="9">
        <v>1328</v>
      </c>
      <c r="F43" s="9">
        <v>1422</v>
      </c>
      <c r="G43" s="9">
        <v>1463</v>
      </c>
      <c r="H43" s="9">
        <v>1029</v>
      </c>
      <c r="I43" s="9">
        <v>1101</v>
      </c>
      <c r="J43" s="9">
        <v>1296</v>
      </c>
      <c r="K43" s="9">
        <v>1314</v>
      </c>
      <c r="L43" s="9">
        <v>1160</v>
      </c>
      <c r="M43" s="9">
        <v>1099</v>
      </c>
      <c r="N43" s="9">
        <v>925</v>
      </c>
      <c r="O43" s="9">
        <v>848</v>
      </c>
      <c r="P43" s="9">
        <v>729</v>
      </c>
    </row>
    <row r="44" spans="2:17">
      <c r="B44" s="8" t="s">
        <v>197</v>
      </c>
      <c r="C44" s="10">
        <v>102022</v>
      </c>
      <c r="D44" s="10">
        <v>134214</v>
      </c>
      <c r="E44" s="10">
        <v>169651</v>
      </c>
      <c r="F44" s="10">
        <v>163761</v>
      </c>
      <c r="G44" s="10">
        <v>159974</v>
      </c>
      <c r="H44" s="10">
        <v>126772</v>
      </c>
      <c r="I44" s="10">
        <v>159502</v>
      </c>
      <c r="J44" s="10">
        <v>141117</v>
      </c>
      <c r="K44" s="10">
        <v>118060</v>
      </c>
      <c r="L44" s="10">
        <v>121745</v>
      </c>
      <c r="M44" s="10">
        <v>137641</v>
      </c>
      <c r="N44" s="10">
        <v>130169</v>
      </c>
      <c r="O44" s="10">
        <v>136385</v>
      </c>
      <c r="P44" s="10">
        <v>135433</v>
      </c>
    </row>
    <row r="45" spans="2:17">
      <c r="B45" s="8" t="s">
        <v>153</v>
      </c>
    </row>
    <row r="46" spans="2:17">
      <c r="B46" s="6" t="s">
        <v>186</v>
      </c>
      <c r="C46" s="7">
        <v>45170</v>
      </c>
      <c r="D46" s="7">
        <v>45200</v>
      </c>
      <c r="E46" s="7">
        <v>45231</v>
      </c>
      <c r="F46" s="7">
        <v>45261</v>
      </c>
      <c r="G46" s="7">
        <v>45292</v>
      </c>
      <c r="H46" s="7">
        <v>45323</v>
      </c>
      <c r="I46" s="7">
        <v>45352</v>
      </c>
      <c r="J46" s="7">
        <v>45383</v>
      </c>
      <c r="K46" s="7">
        <v>45413</v>
      </c>
      <c r="L46" s="7">
        <v>45444</v>
      </c>
      <c r="M46" s="7">
        <v>45474</v>
      </c>
      <c r="N46" s="7">
        <v>45505</v>
      </c>
      <c r="O46" s="7">
        <v>45536</v>
      </c>
      <c r="P46" s="7">
        <v>45566</v>
      </c>
    </row>
    <row r="47" spans="2:17">
      <c r="B47" s="8" t="s">
        <v>187</v>
      </c>
      <c r="C47" s="8">
        <v>9</v>
      </c>
      <c r="D47" s="8">
        <v>9</v>
      </c>
      <c r="E47" s="8">
        <v>16</v>
      </c>
      <c r="F47" s="8">
        <v>25</v>
      </c>
      <c r="G47" s="8">
        <v>20</v>
      </c>
      <c r="H47" s="8">
        <v>17</v>
      </c>
      <c r="I47" s="8">
        <v>21</v>
      </c>
      <c r="J47" s="8">
        <v>4</v>
      </c>
      <c r="K47" s="8">
        <v>6</v>
      </c>
      <c r="L47" s="8">
        <v>4</v>
      </c>
      <c r="M47" s="8">
        <v>2</v>
      </c>
      <c r="N47" s="8">
        <v>0</v>
      </c>
      <c r="O47" s="8">
        <v>2</v>
      </c>
      <c r="P47" s="8">
        <v>1</v>
      </c>
      <c r="Q47" s="8"/>
    </row>
    <row r="48" spans="2:17">
      <c r="B48" s="8" t="s">
        <v>188</v>
      </c>
      <c r="C48" s="8">
        <v>50</v>
      </c>
      <c r="D48" s="8">
        <v>81</v>
      </c>
      <c r="E48" s="8">
        <v>87</v>
      </c>
      <c r="F48" s="8">
        <v>58</v>
      </c>
      <c r="G48" s="8">
        <v>49</v>
      </c>
      <c r="H48" s="8">
        <v>29</v>
      </c>
      <c r="I48" s="8">
        <v>40</v>
      </c>
      <c r="J48" s="8">
        <v>33</v>
      </c>
      <c r="K48" s="8">
        <v>44</v>
      </c>
      <c r="L48" s="8">
        <v>61</v>
      </c>
      <c r="M48" s="8">
        <v>19</v>
      </c>
      <c r="N48" s="8">
        <v>1</v>
      </c>
      <c r="O48" s="8">
        <v>18</v>
      </c>
      <c r="P48" s="8">
        <v>27</v>
      </c>
      <c r="Q48" s="8"/>
    </row>
    <row r="49" spans="2:17">
      <c r="B49" s="8" t="s">
        <v>189</v>
      </c>
      <c r="C49" s="8">
        <v>108</v>
      </c>
      <c r="D49" s="8">
        <v>171</v>
      </c>
      <c r="E49" s="8">
        <v>203</v>
      </c>
      <c r="F49" s="8">
        <v>132</v>
      </c>
      <c r="G49" s="8">
        <v>80</v>
      </c>
      <c r="H49" s="8">
        <v>70</v>
      </c>
      <c r="I49" s="8">
        <v>101</v>
      </c>
      <c r="J49" s="8">
        <v>94</v>
      </c>
      <c r="K49" s="8">
        <v>160</v>
      </c>
      <c r="L49" s="8">
        <v>157</v>
      </c>
      <c r="M49" s="8">
        <v>95</v>
      </c>
      <c r="N49" s="8">
        <v>58</v>
      </c>
      <c r="O49" s="8">
        <v>111</v>
      </c>
      <c r="P49" s="8">
        <v>142</v>
      </c>
      <c r="Q49" s="8"/>
    </row>
    <row r="50" spans="2:17">
      <c r="B50" s="8" t="s">
        <v>190</v>
      </c>
      <c r="C50" s="8">
        <v>207</v>
      </c>
      <c r="D50" s="8">
        <v>316</v>
      </c>
      <c r="E50" s="8">
        <v>342</v>
      </c>
      <c r="F50" s="8">
        <v>265</v>
      </c>
      <c r="G50" s="8">
        <v>228</v>
      </c>
      <c r="H50" s="8">
        <v>183</v>
      </c>
      <c r="I50" s="8">
        <v>267</v>
      </c>
      <c r="J50" s="8">
        <v>192</v>
      </c>
      <c r="K50" s="8">
        <v>252</v>
      </c>
      <c r="L50" s="8">
        <v>258</v>
      </c>
      <c r="M50" s="8">
        <v>237</v>
      </c>
      <c r="N50" s="8">
        <v>199</v>
      </c>
      <c r="O50" s="8">
        <v>467</v>
      </c>
      <c r="P50" s="8">
        <v>345</v>
      </c>
      <c r="Q50" s="8"/>
    </row>
    <row r="51" spans="2:17">
      <c r="B51" s="8" t="s">
        <v>191</v>
      </c>
      <c r="C51" s="8">
        <v>365</v>
      </c>
      <c r="D51" s="8">
        <v>437</v>
      </c>
      <c r="E51" s="8">
        <v>469</v>
      </c>
      <c r="F51" s="8">
        <v>396</v>
      </c>
      <c r="G51" s="8">
        <v>401</v>
      </c>
      <c r="H51" s="8">
        <v>311</v>
      </c>
      <c r="I51" s="8">
        <v>399</v>
      </c>
      <c r="J51" s="8">
        <v>301</v>
      </c>
      <c r="K51" s="8">
        <v>289</v>
      </c>
      <c r="L51" s="8">
        <v>360</v>
      </c>
      <c r="M51" s="8">
        <v>386</v>
      </c>
      <c r="N51" s="8">
        <v>389</v>
      </c>
      <c r="O51" s="8">
        <v>838</v>
      </c>
      <c r="P51" s="8">
        <v>814</v>
      </c>
      <c r="Q51" s="8"/>
    </row>
    <row r="52" spans="2:17">
      <c r="B52" s="8" t="s">
        <v>192</v>
      </c>
      <c r="C52" s="8">
        <v>438</v>
      </c>
      <c r="D52" s="8">
        <v>505</v>
      </c>
      <c r="E52" s="8">
        <v>583</v>
      </c>
      <c r="F52" s="8">
        <v>530</v>
      </c>
      <c r="G52" s="8">
        <v>504</v>
      </c>
      <c r="H52" s="8">
        <v>418</v>
      </c>
      <c r="I52" s="8">
        <v>576</v>
      </c>
      <c r="J52" s="8">
        <v>444</v>
      </c>
      <c r="K52" s="8">
        <v>413</v>
      </c>
      <c r="L52" s="8">
        <v>472</v>
      </c>
      <c r="M52" s="8">
        <v>498</v>
      </c>
      <c r="N52" s="8">
        <v>654</v>
      </c>
      <c r="O52" s="8">
        <v>1167</v>
      </c>
      <c r="P52" s="8">
        <v>1389</v>
      </c>
      <c r="Q52" s="8"/>
    </row>
    <row r="53" spans="2:17">
      <c r="B53" s="8" t="s">
        <v>193</v>
      </c>
      <c r="C53" s="8">
        <v>337</v>
      </c>
      <c r="D53" s="8">
        <v>419</v>
      </c>
      <c r="E53" s="8">
        <v>457</v>
      </c>
      <c r="F53" s="8">
        <v>437</v>
      </c>
      <c r="G53" s="8">
        <v>454</v>
      </c>
      <c r="H53" s="8">
        <v>364</v>
      </c>
      <c r="I53" s="8">
        <v>489</v>
      </c>
      <c r="J53" s="8">
        <v>439</v>
      </c>
      <c r="K53" s="8">
        <v>343</v>
      </c>
      <c r="L53" s="8">
        <v>415</v>
      </c>
      <c r="M53" s="8">
        <v>530</v>
      </c>
      <c r="N53" s="8">
        <v>524</v>
      </c>
      <c r="O53" s="8">
        <v>719</v>
      </c>
      <c r="P53" s="8">
        <v>912</v>
      </c>
      <c r="Q53" s="8"/>
    </row>
    <row r="54" spans="2:17">
      <c r="B54" s="8" t="s">
        <v>194</v>
      </c>
      <c r="C54" s="8">
        <v>131</v>
      </c>
      <c r="D54" s="8">
        <v>165</v>
      </c>
      <c r="E54" s="8">
        <v>145</v>
      </c>
      <c r="F54" s="8">
        <v>145</v>
      </c>
      <c r="G54" s="8">
        <v>185</v>
      </c>
      <c r="H54" s="8">
        <v>126</v>
      </c>
      <c r="I54" s="8">
        <v>154</v>
      </c>
      <c r="J54" s="8">
        <v>166</v>
      </c>
      <c r="K54" s="8">
        <v>163</v>
      </c>
      <c r="L54" s="8">
        <v>158</v>
      </c>
      <c r="M54" s="8">
        <v>179</v>
      </c>
      <c r="N54" s="8">
        <v>229</v>
      </c>
      <c r="O54" s="8">
        <v>217</v>
      </c>
      <c r="P54" s="8">
        <v>207</v>
      </c>
      <c r="Q54" s="8"/>
    </row>
    <row r="55" spans="2:17">
      <c r="B55" s="8" t="s">
        <v>195</v>
      </c>
      <c r="C55" s="8">
        <v>17</v>
      </c>
      <c r="D55" s="8">
        <v>28</v>
      </c>
      <c r="E55" s="8">
        <v>28</v>
      </c>
      <c r="F55" s="8">
        <v>41</v>
      </c>
      <c r="G55" s="8">
        <v>30</v>
      </c>
      <c r="H55" s="8">
        <v>22</v>
      </c>
      <c r="I55" s="8">
        <v>29</v>
      </c>
      <c r="J55" s="8">
        <v>24</v>
      </c>
      <c r="K55" s="8">
        <v>28</v>
      </c>
      <c r="L55" s="8">
        <v>33</v>
      </c>
      <c r="M55" s="8">
        <v>27</v>
      </c>
      <c r="N55" s="8">
        <v>22</v>
      </c>
      <c r="O55" s="8">
        <v>34</v>
      </c>
      <c r="P55" s="8">
        <v>28</v>
      </c>
      <c r="Q55" s="8"/>
    </row>
    <row r="56" spans="2:17">
      <c r="B56" s="8" t="s">
        <v>196</v>
      </c>
      <c r="C56" s="8">
        <v>1</v>
      </c>
      <c r="D56" s="8">
        <v>2</v>
      </c>
      <c r="E56" s="8">
        <v>1</v>
      </c>
      <c r="F56" s="8">
        <v>2</v>
      </c>
      <c r="G56" s="8">
        <v>2</v>
      </c>
      <c r="H56" s="8">
        <v>1</v>
      </c>
      <c r="I56" s="8">
        <v>4</v>
      </c>
      <c r="J56" s="8">
        <v>5</v>
      </c>
      <c r="K56" s="8">
        <v>5</v>
      </c>
      <c r="L56" s="8">
        <v>2</v>
      </c>
      <c r="M56" s="8">
        <v>1</v>
      </c>
      <c r="N56" s="8">
        <v>1</v>
      </c>
      <c r="O56" s="8">
        <v>3</v>
      </c>
      <c r="P56" s="8">
        <v>2</v>
      </c>
      <c r="Q56" s="8"/>
    </row>
    <row r="57" spans="2:17">
      <c r="B57" s="8" t="s">
        <v>197</v>
      </c>
      <c r="C57" s="10">
        <f>SUM(C47:C56)</f>
        <v>1663</v>
      </c>
      <c r="D57" s="10">
        <f t="shared" ref="D57:P57" si="0">SUM(D47:D56)</f>
        <v>2133</v>
      </c>
      <c r="E57" s="10">
        <f t="shared" si="0"/>
        <v>2331</v>
      </c>
      <c r="F57" s="10">
        <f t="shared" si="0"/>
        <v>2031</v>
      </c>
      <c r="G57" s="10">
        <f t="shared" si="0"/>
        <v>1953</v>
      </c>
      <c r="H57" s="10">
        <f t="shared" si="0"/>
        <v>1541</v>
      </c>
      <c r="I57" s="10">
        <f t="shared" si="0"/>
        <v>2080</v>
      </c>
      <c r="J57" s="10">
        <f t="shared" si="0"/>
        <v>1702</v>
      </c>
      <c r="K57" s="10">
        <f t="shared" si="0"/>
        <v>1703</v>
      </c>
      <c r="L57" s="10">
        <f t="shared" si="0"/>
        <v>1920</v>
      </c>
      <c r="M57" s="10">
        <f t="shared" si="0"/>
        <v>1974</v>
      </c>
      <c r="N57" s="10">
        <f t="shared" si="0"/>
        <v>2077</v>
      </c>
      <c r="O57" s="10">
        <f t="shared" si="0"/>
        <v>3576</v>
      </c>
      <c r="P57" s="10">
        <f t="shared" si="0"/>
        <v>3867</v>
      </c>
    </row>
    <row r="58" spans="2:17">
      <c r="B58" s="8" t="s">
        <v>26</v>
      </c>
    </row>
    <row r="59" spans="2:17">
      <c r="B59" s="14" t="s">
        <v>200</v>
      </c>
      <c r="C59" s="7">
        <v>45170</v>
      </c>
      <c r="D59" s="7">
        <v>45200</v>
      </c>
      <c r="E59" s="7">
        <v>45231</v>
      </c>
      <c r="F59" s="7">
        <v>45261</v>
      </c>
      <c r="G59" s="7">
        <v>45292</v>
      </c>
      <c r="H59" s="7">
        <v>45323</v>
      </c>
      <c r="I59" s="7">
        <v>45352</v>
      </c>
      <c r="J59" s="7">
        <v>45383</v>
      </c>
      <c r="K59" s="7">
        <v>45413</v>
      </c>
      <c r="L59" s="7">
        <v>45444</v>
      </c>
      <c r="M59" s="7">
        <v>45474</v>
      </c>
      <c r="N59" s="7">
        <v>45505</v>
      </c>
      <c r="O59" s="7">
        <v>45536</v>
      </c>
      <c r="P59" s="7">
        <v>45566</v>
      </c>
      <c r="Q59" s="7"/>
    </row>
    <row r="60" spans="2:17">
      <c r="B60" s="8" t="s">
        <v>187</v>
      </c>
      <c r="C60" s="15">
        <v>0.105882352941176</v>
      </c>
      <c r="D60" s="15">
        <v>0.104651162790698</v>
      </c>
      <c r="E60" s="15">
        <v>0.124031007751938</v>
      </c>
      <c r="F60" s="15">
        <v>0.233644859813084</v>
      </c>
      <c r="G60" s="15">
        <v>0.141843971631206</v>
      </c>
      <c r="H60" s="15">
        <v>0.178947368421053</v>
      </c>
      <c r="I60" s="15">
        <v>0.362068965517241</v>
      </c>
      <c r="J60" s="15">
        <v>0.444444444444444</v>
      </c>
      <c r="K60" s="15">
        <v>0.5</v>
      </c>
      <c r="L60" s="15">
        <v>0.363636363636364</v>
      </c>
      <c r="M60" s="15">
        <v>0.285714285714286</v>
      </c>
      <c r="N60" s="15">
        <v>0</v>
      </c>
      <c r="O60" s="15">
        <v>0.666666666666667</v>
      </c>
      <c r="P60" s="15">
        <v>0.5</v>
      </c>
      <c r="Q60" s="15"/>
    </row>
    <row r="61" spans="2:17">
      <c r="B61" s="8" t="s">
        <v>188</v>
      </c>
      <c r="C61" s="15">
        <v>0.0810372771474878</v>
      </c>
      <c r="D61" s="15">
        <v>0.0918367346938776</v>
      </c>
      <c r="E61" s="15">
        <v>0.0926517571884984</v>
      </c>
      <c r="F61" s="15">
        <v>0.0916271721958926</v>
      </c>
      <c r="G61" s="15">
        <v>0.0897435897435897</v>
      </c>
      <c r="H61" s="15">
        <v>0.103202846975089</v>
      </c>
      <c r="I61" s="15">
        <v>0.148148148148148</v>
      </c>
      <c r="J61" s="15">
        <v>0.230769230769231</v>
      </c>
      <c r="K61" s="15">
        <v>0.258823529411765</v>
      </c>
      <c r="L61" s="15">
        <v>0.259574468085106</v>
      </c>
      <c r="M61" s="15">
        <v>0.177570093457944</v>
      </c>
      <c r="N61" s="15">
        <v>0.0666666666666667</v>
      </c>
      <c r="O61" s="15">
        <v>0.461538461538462</v>
      </c>
      <c r="P61" s="15">
        <v>0.421875</v>
      </c>
      <c r="Q61" s="15"/>
    </row>
    <row r="62" spans="2:17">
      <c r="B62" s="8" t="s">
        <v>189</v>
      </c>
      <c r="C62" s="15">
        <v>0.0808988764044944</v>
      </c>
      <c r="D62" s="15">
        <v>0.0803571428571429</v>
      </c>
      <c r="E62" s="15">
        <v>0.0776884806735553</v>
      </c>
      <c r="F62" s="15">
        <v>0.0753854940034266</v>
      </c>
      <c r="G62" s="15">
        <v>0.0629425649095201</v>
      </c>
      <c r="H62" s="15">
        <v>0.0855745721271394</v>
      </c>
      <c r="I62" s="15">
        <v>0.0987292277614858</v>
      </c>
      <c r="J62" s="15">
        <v>0.139259259259259</v>
      </c>
      <c r="K62" s="15">
        <v>0.201005025125628</v>
      </c>
      <c r="L62" s="15">
        <v>0.173289183222958</v>
      </c>
      <c r="M62" s="15">
        <v>0.174311926605505</v>
      </c>
      <c r="N62" s="15">
        <v>0.190789473684211</v>
      </c>
      <c r="O62" s="15">
        <v>0.228865979381443</v>
      </c>
      <c r="P62" s="15">
        <v>0.301486199575372</v>
      </c>
      <c r="Q62" s="15"/>
    </row>
    <row r="63" spans="2:17">
      <c r="B63" s="8" t="s">
        <v>190</v>
      </c>
      <c r="C63" s="15">
        <v>0.0531996915959908</v>
      </c>
      <c r="D63" s="15">
        <v>0.0518627933694403</v>
      </c>
      <c r="E63" s="15">
        <v>0.0433295324971494</v>
      </c>
      <c r="F63" s="15">
        <v>0.0442847593582888</v>
      </c>
      <c r="G63" s="15">
        <v>0.0516889594196327</v>
      </c>
      <c r="H63" s="15">
        <v>0.0530434782608696</v>
      </c>
      <c r="I63" s="15">
        <v>0.0550856199711162</v>
      </c>
      <c r="J63" s="15">
        <v>0.0638935108153078</v>
      </c>
      <c r="K63" s="15">
        <v>0.0883280757097792</v>
      </c>
      <c r="L63" s="15">
        <v>0.0829848825989064</v>
      </c>
      <c r="M63" s="15">
        <v>0.0905271199388846</v>
      </c>
      <c r="N63" s="15">
        <v>0.0952608903781714</v>
      </c>
      <c r="O63" s="15">
        <v>0.139236732259988</v>
      </c>
      <c r="P63" s="15">
        <v>0.141916906622789</v>
      </c>
      <c r="Q63" s="15"/>
    </row>
    <row r="64" spans="2:17">
      <c r="B64" s="8" t="s">
        <v>191</v>
      </c>
      <c r="C64" s="15">
        <v>0.0348315678977002</v>
      </c>
      <c r="D64" s="15">
        <v>0.0277372262773723</v>
      </c>
      <c r="E64" s="15">
        <v>0.0225513295186806</v>
      </c>
      <c r="F64" s="15">
        <v>0.0226415094339623</v>
      </c>
      <c r="G64" s="15">
        <v>0.0270343153778737</v>
      </c>
      <c r="H64" s="15">
        <v>0.0259924780610113</v>
      </c>
      <c r="I64" s="15">
        <v>0.0260579937304075</v>
      </c>
      <c r="J64" s="15">
        <v>0.0291779759596743</v>
      </c>
      <c r="K64" s="15">
        <v>0.0338328260360571</v>
      </c>
      <c r="L64" s="15">
        <v>0.0370332270342557</v>
      </c>
      <c r="M64" s="15">
        <v>0.0407387862796834</v>
      </c>
      <c r="N64" s="15">
        <v>0.045064874884152</v>
      </c>
      <c r="O64" s="15">
        <v>0.0693192158160311</v>
      </c>
      <c r="P64" s="15">
        <v>0.0780665579744893</v>
      </c>
      <c r="Q64" s="15"/>
    </row>
    <row r="65" spans="1:17">
      <c r="B65" s="8" t="s">
        <v>192</v>
      </c>
      <c r="C65" s="15">
        <v>0.0190368567454798</v>
      </c>
      <c r="D65" s="15">
        <v>0.0158153518524318</v>
      </c>
      <c r="E65" s="15">
        <v>0.013471047645455</v>
      </c>
      <c r="F65" s="15">
        <v>0.0132182761372706</v>
      </c>
      <c r="G65" s="15">
        <v>0.0137851809304997</v>
      </c>
      <c r="H65" s="15">
        <v>0.0141087521517535</v>
      </c>
      <c r="I65" s="15">
        <v>0.0151774656794287</v>
      </c>
      <c r="J65" s="15">
        <v>0.0153771559188197</v>
      </c>
      <c r="K65" s="15">
        <v>0.0178394021856507</v>
      </c>
      <c r="L65" s="15">
        <v>0.0179706834189987</v>
      </c>
      <c r="M65" s="15">
        <v>0.0170869788986104</v>
      </c>
      <c r="N65" s="15">
        <v>0.0244412885865909</v>
      </c>
      <c r="O65" s="15">
        <v>0.0370523241046482</v>
      </c>
      <c r="P65" s="15">
        <v>0.0419055089603572</v>
      </c>
      <c r="Q65" s="15"/>
    </row>
    <row r="66" spans="1:17">
      <c r="B66" s="8" t="s">
        <v>193</v>
      </c>
      <c r="C66" s="15">
        <v>0.0103765741909659</v>
      </c>
      <c r="D66" s="15">
        <v>0.0100503717917966</v>
      </c>
      <c r="E66" s="15">
        <v>0.00826715389207475</v>
      </c>
      <c r="F66" s="15">
        <v>0.00780524398085304</v>
      </c>
      <c r="G66" s="15">
        <v>0.00814422818189972</v>
      </c>
      <c r="H66" s="15">
        <v>0.00812699546763714</v>
      </c>
      <c r="I66" s="15">
        <v>0.00858090441679681</v>
      </c>
      <c r="J66" s="15">
        <v>0.00862882302067773</v>
      </c>
      <c r="K66" s="15">
        <v>0.00820044468883735</v>
      </c>
      <c r="L66" s="15">
        <v>0.00963592458437819</v>
      </c>
      <c r="M66" s="15">
        <v>0.0104041930861192</v>
      </c>
      <c r="N66" s="15">
        <v>0.0105515394373855</v>
      </c>
      <c r="O66" s="15">
        <v>0.0145220254084951</v>
      </c>
      <c r="P66" s="15">
        <v>0.0175695461200586</v>
      </c>
      <c r="Q66" s="15"/>
    </row>
    <row r="67" spans="1:17">
      <c r="B67" s="8" t="s">
        <v>194</v>
      </c>
      <c r="C67" s="15">
        <v>0.00619356058815186</v>
      </c>
      <c r="D67" s="15">
        <v>0.00650630914826498</v>
      </c>
      <c r="E67" s="15">
        <v>0.00502008032128514</v>
      </c>
      <c r="F67" s="15">
        <v>0.00465923331512484</v>
      </c>
      <c r="G67" s="15">
        <v>0.00532466037301405</v>
      </c>
      <c r="H67" s="15">
        <v>0.00468488566648076</v>
      </c>
      <c r="I67" s="15">
        <v>0.00466793974114152</v>
      </c>
      <c r="J67" s="15">
        <v>0.00473582106584503</v>
      </c>
      <c r="K67" s="15">
        <v>0.0055291723202171</v>
      </c>
      <c r="L67" s="15">
        <v>0.00561717861205916</v>
      </c>
      <c r="M67" s="15">
        <v>0.00528741064571395</v>
      </c>
      <c r="N67" s="15">
        <v>0.00700027511998288</v>
      </c>
      <c r="O67" s="15">
        <v>0.00718471674999172</v>
      </c>
      <c r="P67" s="15">
        <v>0.00726010101010101</v>
      </c>
      <c r="Q67" s="15"/>
    </row>
    <row r="68" spans="1:17">
      <c r="B68" s="8" t="s">
        <v>195</v>
      </c>
      <c r="C68" s="15">
        <v>0.00220292859919658</v>
      </c>
      <c r="D68" s="15">
        <v>0.0031609844208625</v>
      </c>
      <c r="E68" s="15">
        <v>0.00328986018094231</v>
      </c>
      <c r="F68" s="15">
        <v>0.00447158905005998</v>
      </c>
      <c r="G68" s="15">
        <v>0.00292426162393996</v>
      </c>
      <c r="H68" s="15">
        <v>0.0028122203758149</v>
      </c>
      <c r="I68" s="15">
        <v>0.00323588484713234</v>
      </c>
      <c r="J68" s="15">
        <v>0.00220770858246711</v>
      </c>
      <c r="K68" s="15">
        <v>0.00282400403429148</v>
      </c>
      <c r="L68" s="15">
        <v>0.00360971341063225</v>
      </c>
      <c r="M68" s="15">
        <v>0.00274111675126904</v>
      </c>
      <c r="N68" s="15">
        <v>0.00242531143203616</v>
      </c>
      <c r="O68" s="15">
        <v>0.00406844561445495</v>
      </c>
      <c r="P68" s="15">
        <v>0.0036161694433682</v>
      </c>
      <c r="Q68" s="15"/>
    </row>
    <row r="69" spans="1:17">
      <c r="B69" s="8" t="s">
        <v>196</v>
      </c>
      <c r="C69" s="15">
        <v>0.000792393026941363</v>
      </c>
      <c r="D69" s="15">
        <v>0.00139762403913347</v>
      </c>
      <c r="E69" s="15">
        <v>0.000753012048192771</v>
      </c>
      <c r="F69" s="15">
        <v>0.00140646976090014</v>
      </c>
      <c r="G69" s="15">
        <v>0.00136705399863295</v>
      </c>
      <c r="H69" s="15">
        <v>0.000971817298347911</v>
      </c>
      <c r="I69" s="15">
        <v>0.0036330608537693</v>
      </c>
      <c r="J69" s="15">
        <v>0.00385802469135802</v>
      </c>
      <c r="K69" s="15">
        <v>0.00380517503805175</v>
      </c>
      <c r="L69" s="15">
        <v>0.00172413793103448</v>
      </c>
      <c r="M69" s="15">
        <v>0.000909918107370337</v>
      </c>
      <c r="N69" s="15">
        <v>0.00108108108108108</v>
      </c>
      <c r="O69" s="15">
        <v>0.0035377358490566</v>
      </c>
      <c r="P69" s="15">
        <v>0.00274348422496571</v>
      </c>
      <c r="Q69" s="15"/>
    </row>
    <row r="70" spans="1:17">
      <c r="B70" s="8"/>
    </row>
    <row r="71" spans="1:17">
      <c r="A71" s="1" t="s">
        <v>201</v>
      </c>
    </row>
    <row r="72" spans="1:17">
      <c r="B72" s="8" t="s">
        <v>199</v>
      </c>
    </row>
    <row r="73" spans="1:17">
      <c r="B73" s="6" t="s">
        <v>186</v>
      </c>
      <c r="C73" s="7">
        <v>45170</v>
      </c>
      <c r="D73" s="7">
        <v>45200</v>
      </c>
      <c r="E73" s="7">
        <v>45231</v>
      </c>
      <c r="F73" s="7">
        <v>45261</v>
      </c>
      <c r="G73" s="7">
        <v>45292</v>
      </c>
      <c r="H73" s="7">
        <v>45323</v>
      </c>
      <c r="I73" s="7">
        <v>45352</v>
      </c>
      <c r="J73" s="7">
        <v>45383</v>
      </c>
      <c r="K73" s="7">
        <v>45413</v>
      </c>
      <c r="L73" s="7">
        <v>45444</v>
      </c>
      <c r="M73" s="7">
        <v>45474</v>
      </c>
      <c r="N73" s="7">
        <v>45505</v>
      </c>
      <c r="O73" s="7">
        <v>45536</v>
      </c>
      <c r="P73" s="7">
        <v>45566</v>
      </c>
    </row>
    <row r="74" spans="1:17">
      <c r="B74" s="8" t="s">
        <v>187</v>
      </c>
      <c r="C74" s="9">
        <v>85</v>
      </c>
      <c r="D74" s="9">
        <v>86</v>
      </c>
      <c r="E74" s="9">
        <v>129</v>
      </c>
      <c r="F74" s="9">
        <v>107</v>
      </c>
      <c r="G74" s="9">
        <v>141</v>
      </c>
      <c r="H74" s="9">
        <v>95</v>
      </c>
      <c r="I74" s="9">
        <v>58</v>
      </c>
      <c r="J74" s="9">
        <v>9</v>
      </c>
      <c r="K74" s="9">
        <v>12</v>
      </c>
      <c r="L74" s="9">
        <v>11</v>
      </c>
      <c r="M74" s="9">
        <v>7</v>
      </c>
      <c r="N74" s="9">
        <v>1</v>
      </c>
      <c r="O74" s="9">
        <v>3</v>
      </c>
      <c r="P74" s="9">
        <v>2</v>
      </c>
    </row>
    <row r="75" spans="1:17">
      <c r="B75" s="8" t="s">
        <v>188</v>
      </c>
      <c r="C75" s="9">
        <v>617</v>
      </c>
      <c r="D75" s="9">
        <v>882</v>
      </c>
      <c r="E75" s="9">
        <v>939</v>
      </c>
      <c r="F75" s="9">
        <v>633</v>
      </c>
      <c r="G75" s="9">
        <v>546</v>
      </c>
      <c r="H75" s="9">
        <v>281</v>
      </c>
      <c r="I75" s="9">
        <v>270</v>
      </c>
      <c r="J75" s="9">
        <v>143</v>
      </c>
      <c r="K75" s="9">
        <v>170</v>
      </c>
      <c r="L75" s="9">
        <v>235</v>
      </c>
      <c r="M75" s="9">
        <v>107</v>
      </c>
      <c r="N75" s="9">
        <v>15</v>
      </c>
      <c r="O75" s="9">
        <v>39</v>
      </c>
      <c r="P75" s="9">
        <v>64</v>
      </c>
    </row>
    <row r="76" spans="1:17">
      <c r="B76" s="8" t="s">
        <v>189</v>
      </c>
      <c r="C76" s="9">
        <v>1335</v>
      </c>
      <c r="D76" s="9">
        <v>2128</v>
      </c>
      <c r="E76" s="9">
        <v>2613</v>
      </c>
      <c r="F76" s="9">
        <v>1751</v>
      </c>
      <c r="G76" s="9">
        <v>1271</v>
      </c>
      <c r="H76" s="9">
        <v>818</v>
      </c>
      <c r="I76" s="9">
        <v>1023</v>
      </c>
      <c r="J76" s="9">
        <v>675</v>
      </c>
      <c r="K76" s="9">
        <v>796</v>
      </c>
      <c r="L76" s="9">
        <v>906</v>
      </c>
      <c r="M76" s="9">
        <v>545</v>
      </c>
      <c r="N76" s="9">
        <v>304</v>
      </c>
      <c r="O76" s="9">
        <v>485</v>
      </c>
      <c r="P76" s="9">
        <v>471</v>
      </c>
    </row>
    <row r="77" spans="1:17">
      <c r="B77" s="8" t="s">
        <v>190</v>
      </c>
      <c r="C77" s="9">
        <v>3891</v>
      </c>
      <c r="D77" s="9">
        <v>6093</v>
      </c>
      <c r="E77" s="9">
        <v>7893</v>
      </c>
      <c r="F77" s="9">
        <v>5984</v>
      </c>
      <c r="G77" s="9">
        <v>4411</v>
      </c>
      <c r="H77" s="9">
        <v>3450</v>
      </c>
      <c r="I77" s="9">
        <v>4847</v>
      </c>
      <c r="J77" s="9">
        <v>3005</v>
      </c>
      <c r="K77" s="9">
        <v>2853</v>
      </c>
      <c r="L77" s="9">
        <v>3109</v>
      </c>
      <c r="M77" s="9">
        <v>2618</v>
      </c>
      <c r="N77" s="9">
        <v>2089</v>
      </c>
      <c r="O77" s="9">
        <v>3354</v>
      </c>
      <c r="P77" s="9">
        <v>2431</v>
      </c>
    </row>
    <row r="78" spans="1:17">
      <c r="B78" s="8" t="s">
        <v>191</v>
      </c>
      <c r="C78" s="9">
        <v>10479</v>
      </c>
      <c r="D78" s="9">
        <v>15755</v>
      </c>
      <c r="E78" s="9">
        <v>20797</v>
      </c>
      <c r="F78" s="9">
        <v>17490</v>
      </c>
      <c r="G78" s="9">
        <v>14833</v>
      </c>
      <c r="H78" s="9">
        <v>11965</v>
      </c>
      <c r="I78" s="9">
        <v>15312</v>
      </c>
      <c r="J78" s="9">
        <v>10316</v>
      </c>
      <c r="K78" s="9">
        <v>8542</v>
      </c>
      <c r="L78" s="9">
        <v>9721</v>
      </c>
      <c r="M78" s="9">
        <v>9475</v>
      </c>
      <c r="N78" s="9">
        <v>8632</v>
      </c>
      <c r="O78" s="9">
        <v>12089</v>
      </c>
      <c r="P78" s="9">
        <v>10427</v>
      </c>
    </row>
    <row r="79" spans="1:17">
      <c r="B79" s="8" t="s">
        <v>192</v>
      </c>
      <c r="C79" s="9">
        <v>23008</v>
      </c>
      <c r="D79" s="9">
        <v>31931</v>
      </c>
      <c r="E79" s="9">
        <v>43278</v>
      </c>
      <c r="F79" s="9">
        <v>40096</v>
      </c>
      <c r="G79" s="9">
        <v>36561</v>
      </c>
      <c r="H79" s="9">
        <v>29627</v>
      </c>
      <c r="I79" s="9">
        <v>37951</v>
      </c>
      <c r="J79" s="9">
        <v>28874</v>
      </c>
      <c r="K79" s="9">
        <v>23151</v>
      </c>
      <c r="L79" s="9">
        <v>26265</v>
      </c>
      <c r="M79" s="9">
        <v>29145</v>
      </c>
      <c r="N79" s="9">
        <v>26758</v>
      </c>
      <c r="O79" s="9">
        <v>31496</v>
      </c>
      <c r="P79" s="9">
        <v>33146</v>
      </c>
    </row>
    <row r="80" spans="1:17">
      <c r="B80" s="8" t="s">
        <v>193</v>
      </c>
      <c r="C80" s="9">
        <v>32477</v>
      </c>
      <c r="D80" s="9">
        <v>41690</v>
      </c>
      <c r="E80" s="9">
        <v>55279</v>
      </c>
      <c r="F80" s="9">
        <v>55988</v>
      </c>
      <c r="G80" s="9">
        <v>55745</v>
      </c>
      <c r="H80" s="9">
        <v>44789</v>
      </c>
      <c r="I80" s="9">
        <v>56987</v>
      </c>
      <c r="J80" s="9">
        <v>50876</v>
      </c>
      <c r="K80" s="9">
        <v>41827</v>
      </c>
      <c r="L80" s="9">
        <v>43068</v>
      </c>
      <c r="M80" s="9">
        <v>50941</v>
      </c>
      <c r="N80" s="9">
        <v>49661</v>
      </c>
      <c r="O80" s="9">
        <v>49511</v>
      </c>
      <c r="P80" s="9">
        <v>51908</v>
      </c>
    </row>
    <row r="81" spans="2:17">
      <c r="B81" s="8" t="s">
        <v>194</v>
      </c>
      <c r="C81" s="9">
        <v>21151</v>
      </c>
      <c r="D81" s="9">
        <v>25360</v>
      </c>
      <c r="E81" s="9">
        <v>28884</v>
      </c>
      <c r="F81" s="9">
        <v>31121</v>
      </c>
      <c r="G81" s="9">
        <v>34744</v>
      </c>
      <c r="H81" s="9">
        <v>26895</v>
      </c>
      <c r="I81" s="9">
        <v>32991</v>
      </c>
      <c r="J81" s="9">
        <v>35052</v>
      </c>
      <c r="K81" s="9">
        <v>29480</v>
      </c>
      <c r="L81" s="9">
        <v>28128</v>
      </c>
      <c r="M81" s="9">
        <v>33854</v>
      </c>
      <c r="N81" s="9">
        <v>32713</v>
      </c>
      <c r="O81" s="9">
        <v>30203</v>
      </c>
      <c r="P81" s="9">
        <v>28512</v>
      </c>
    </row>
    <row r="82" spans="2:17">
      <c r="B82" s="8" t="s">
        <v>195</v>
      </c>
      <c r="C82" s="9">
        <v>7717</v>
      </c>
      <c r="D82" s="9">
        <v>8858</v>
      </c>
      <c r="E82" s="9">
        <v>8511</v>
      </c>
      <c r="F82" s="9">
        <v>9169</v>
      </c>
      <c r="G82" s="9">
        <v>10259</v>
      </c>
      <c r="H82" s="9">
        <v>7823</v>
      </c>
      <c r="I82" s="9">
        <v>8962</v>
      </c>
      <c r="J82" s="9">
        <v>10871</v>
      </c>
      <c r="K82" s="9">
        <v>9915</v>
      </c>
      <c r="L82" s="9">
        <v>9142</v>
      </c>
      <c r="M82" s="9">
        <v>9850</v>
      </c>
      <c r="N82" s="9">
        <v>9071</v>
      </c>
      <c r="O82" s="9">
        <v>8357</v>
      </c>
      <c r="P82" s="9">
        <v>7743</v>
      </c>
    </row>
    <row r="83" spans="2:17">
      <c r="B83" s="8" t="s">
        <v>196</v>
      </c>
      <c r="C83" s="9">
        <v>1262</v>
      </c>
      <c r="D83" s="9">
        <v>1431</v>
      </c>
      <c r="E83" s="9">
        <v>1328</v>
      </c>
      <c r="F83" s="9">
        <v>1422</v>
      </c>
      <c r="G83" s="9">
        <v>1463</v>
      </c>
      <c r="H83" s="9">
        <v>1029</v>
      </c>
      <c r="I83" s="9">
        <v>1101</v>
      </c>
      <c r="J83" s="9">
        <v>1296</v>
      </c>
      <c r="K83" s="9">
        <v>1314</v>
      </c>
      <c r="L83" s="9">
        <v>1160</v>
      </c>
      <c r="M83" s="9">
        <v>1099</v>
      </c>
      <c r="N83" s="9">
        <v>925</v>
      </c>
      <c r="O83" s="9">
        <v>848</v>
      </c>
      <c r="P83" s="9">
        <v>729</v>
      </c>
    </row>
    <row r="84" spans="2:17">
      <c r="B84" s="8" t="s">
        <v>197</v>
      </c>
      <c r="C84" s="10">
        <v>102022</v>
      </c>
      <c r="D84" s="10">
        <v>134214</v>
      </c>
      <c r="E84" s="10">
        <v>169651</v>
      </c>
      <c r="F84" s="10">
        <v>163761</v>
      </c>
      <c r="G84" s="10">
        <v>159974</v>
      </c>
      <c r="H84" s="10">
        <v>126772</v>
      </c>
      <c r="I84" s="10">
        <v>159502</v>
      </c>
      <c r="J84" s="10">
        <v>141117</v>
      </c>
      <c r="K84" s="10">
        <v>118060</v>
      </c>
      <c r="L84" s="10">
        <v>121745</v>
      </c>
      <c r="M84" s="10">
        <v>137641</v>
      </c>
      <c r="N84" s="10">
        <v>130169</v>
      </c>
      <c r="O84" s="10">
        <v>136385</v>
      </c>
      <c r="P84" s="10">
        <v>135433</v>
      </c>
    </row>
    <row r="85" spans="2:17">
      <c r="B85" s="8" t="s">
        <v>153</v>
      </c>
    </row>
    <row r="86" spans="2:17">
      <c r="B86" s="6" t="s">
        <v>186</v>
      </c>
      <c r="C86" s="7">
        <v>45170</v>
      </c>
      <c r="D86" s="7">
        <v>45200</v>
      </c>
      <c r="E86" s="7">
        <v>45231</v>
      </c>
      <c r="F86" s="7">
        <v>45261</v>
      </c>
      <c r="G86" s="7">
        <v>45292</v>
      </c>
      <c r="H86" s="7">
        <v>45323</v>
      </c>
      <c r="I86" s="7">
        <v>45352</v>
      </c>
      <c r="J86" s="7">
        <v>45383</v>
      </c>
      <c r="K86" s="7">
        <v>45413</v>
      </c>
      <c r="L86" s="7">
        <v>45444</v>
      </c>
      <c r="M86" s="7">
        <v>45474</v>
      </c>
      <c r="N86" s="7">
        <v>45505</v>
      </c>
      <c r="O86" s="7">
        <v>45536</v>
      </c>
      <c r="P86" s="7">
        <v>45566</v>
      </c>
    </row>
    <row r="87" spans="2:17">
      <c r="B87" s="8" t="s">
        <v>187</v>
      </c>
      <c r="C87" s="8">
        <v>9</v>
      </c>
      <c r="D87" s="8">
        <v>9</v>
      </c>
      <c r="E87" s="8">
        <v>16</v>
      </c>
      <c r="F87" s="8">
        <v>25</v>
      </c>
      <c r="G87" s="8">
        <v>20</v>
      </c>
      <c r="H87" s="8">
        <v>17</v>
      </c>
      <c r="I87" s="8">
        <v>21</v>
      </c>
      <c r="J87" s="8">
        <v>4</v>
      </c>
      <c r="K87" s="8">
        <v>6</v>
      </c>
      <c r="L87" s="8">
        <v>4</v>
      </c>
      <c r="M87" s="8">
        <v>2</v>
      </c>
      <c r="N87" s="8">
        <v>0</v>
      </c>
      <c r="O87" s="8">
        <v>2</v>
      </c>
      <c r="P87" s="8">
        <v>1</v>
      </c>
      <c r="Q87" s="8"/>
    </row>
    <row r="88" spans="2:17">
      <c r="B88" s="8" t="s">
        <v>188</v>
      </c>
      <c r="C88" s="8">
        <v>50</v>
      </c>
      <c r="D88" s="8">
        <v>81</v>
      </c>
      <c r="E88" s="8">
        <v>87</v>
      </c>
      <c r="F88" s="8">
        <v>58</v>
      </c>
      <c r="G88" s="8">
        <v>49</v>
      </c>
      <c r="H88" s="8">
        <v>29</v>
      </c>
      <c r="I88" s="8">
        <v>40</v>
      </c>
      <c r="J88" s="8">
        <v>33</v>
      </c>
      <c r="K88" s="8">
        <v>44</v>
      </c>
      <c r="L88" s="8">
        <v>61</v>
      </c>
      <c r="M88" s="8">
        <v>19</v>
      </c>
      <c r="N88" s="8">
        <v>1</v>
      </c>
      <c r="O88" s="8">
        <v>18</v>
      </c>
      <c r="P88" s="8">
        <v>27</v>
      </c>
      <c r="Q88" s="8"/>
    </row>
    <row r="89" spans="2:17">
      <c r="B89" s="8" t="s">
        <v>189</v>
      </c>
      <c r="C89" s="8">
        <v>108</v>
      </c>
      <c r="D89" s="8">
        <v>171</v>
      </c>
      <c r="E89" s="8">
        <v>203</v>
      </c>
      <c r="F89" s="8">
        <v>132</v>
      </c>
      <c r="G89" s="8">
        <v>80</v>
      </c>
      <c r="H89" s="8">
        <v>70</v>
      </c>
      <c r="I89" s="8">
        <v>101</v>
      </c>
      <c r="J89" s="8">
        <v>94</v>
      </c>
      <c r="K89" s="8">
        <v>160</v>
      </c>
      <c r="L89" s="8">
        <v>157</v>
      </c>
      <c r="M89" s="8">
        <v>95</v>
      </c>
      <c r="N89" s="8">
        <v>58</v>
      </c>
      <c r="O89" s="8">
        <v>111</v>
      </c>
      <c r="P89" s="8">
        <v>142</v>
      </c>
      <c r="Q89" s="8"/>
    </row>
    <row r="90" spans="2:17">
      <c r="B90" s="8" t="s">
        <v>190</v>
      </c>
      <c r="C90" s="8">
        <v>207</v>
      </c>
      <c r="D90" s="8">
        <v>316</v>
      </c>
      <c r="E90" s="8">
        <v>342</v>
      </c>
      <c r="F90" s="8">
        <v>265</v>
      </c>
      <c r="G90" s="8">
        <v>228</v>
      </c>
      <c r="H90" s="8">
        <v>183</v>
      </c>
      <c r="I90" s="8">
        <v>267</v>
      </c>
      <c r="J90" s="8">
        <v>192</v>
      </c>
      <c r="K90" s="8">
        <v>252</v>
      </c>
      <c r="L90" s="8">
        <v>258</v>
      </c>
      <c r="M90" s="8">
        <v>237</v>
      </c>
      <c r="N90" s="8">
        <v>199</v>
      </c>
      <c r="O90" s="8">
        <v>467</v>
      </c>
      <c r="P90" s="8">
        <v>345</v>
      </c>
      <c r="Q90" s="8"/>
    </row>
    <row r="91" spans="2:17">
      <c r="B91" s="8" t="s">
        <v>191</v>
      </c>
      <c r="C91" s="8">
        <v>365</v>
      </c>
      <c r="D91" s="8">
        <v>437</v>
      </c>
      <c r="E91" s="8">
        <v>469</v>
      </c>
      <c r="F91" s="8">
        <v>396</v>
      </c>
      <c r="G91" s="8">
        <v>401</v>
      </c>
      <c r="H91" s="8">
        <v>311</v>
      </c>
      <c r="I91" s="8">
        <v>399</v>
      </c>
      <c r="J91" s="8">
        <v>301</v>
      </c>
      <c r="K91" s="8">
        <v>289</v>
      </c>
      <c r="L91" s="8">
        <v>360</v>
      </c>
      <c r="M91" s="8">
        <v>386</v>
      </c>
      <c r="N91" s="8">
        <v>389</v>
      </c>
      <c r="O91" s="8">
        <v>838</v>
      </c>
      <c r="P91" s="8">
        <v>814</v>
      </c>
      <c r="Q91" s="8"/>
    </row>
    <row r="92" spans="2:17">
      <c r="B92" s="8" t="s">
        <v>192</v>
      </c>
      <c r="C92" s="8">
        <v>438</v>
      </c>
      <c r="D92" s="8">
        <v>505</v>
      </c>
      <c r="E92" s="8">
        <v>583</v>
      </c>
      <c r="F92" s="8">
        <v>530</v>
      </c>
      <c r="G92" s="8">
        <v>504</v>
      </c>
      <c r="H92" s="8">
        <v>418</v>
      </c>
      <c r="I92" s="8">
        <v>576</v>
      </c>
      <c r="J92" s="8">
        <v>444</v>
      </c>
      <c r="K92" s="8">
        <v>413</v>
      </c>
      <c r="L92" s="8">
        <v>472</v>
      </c>
      <c r="M92" s="8">
        <v>498</v>
      </c>
      <c r="N92" s="8">
        <v>654</v>
      </c>
      <c r="O92" s="8">
        <v>1167</v>
      </c>
      <c r="P92" s="8">
        <v>1389</v>
      </c>
      <c r="Q92" s="8"/>
    </row>
    <row r="93" spans="2:17">
      <c r="B93" s="8" t="s">
        <v>193</v>
      </c>
      <c r="C93" s="8">
        <v>337</v>
      </c>
      <c r="D93" s="8">
        <v>419</v>
      </c>
      <c r="E93" s="8">
        <v>457</v>
      </c>
      <c r="F93" s="8">
        <v>437</v>
      </c>
      <c r="G93" s="8">
        <v>454</v>
      </c>
      <c r="H93" s="8">
        <v>364</v>
      </c>
      <c r="I93" s="8">
        <v>489</v>
      </c>
      <c r="J93" s="8">
        <v>439</v>
      </c>
      <c r="K93" s="8">
        <v>343</v>
      </c>
      <c r="L93" s="8">
        <v>415</v>
      </c>
      <c r="M93" s="8">
        <v>530</v>
      </c>
      <c r="N93" s="8">
        <v>524</v>
      </c>
      <c r="O93" s="8">
        <v>719</v>
      </c>
      <c r="P93" s="8">
        <v>912</v>
      </c>
      <c r="Q93" s="8"/>
    </row>
    <row r="94" spans="2:17">
      <c r="B94" s="8" t="s">
        <v>194</v>
      </c>
      <c r="C94" s="8">
        <v>131</v>
      </c>
      <c r="D94" s="8">
        <v>165</v>
      </c>
      <c r="E94" s="8">
        <v>145</v>
      </c>
      <c r="F94" s="8">
        <v>145</v>
      </c>
      <c r="G94" s="8">
        <v>185</v>
      </c>
      <c r="H94" s="8">
        <v>126</v>
      </c>
      <c r="I94" s="8">
        <v>154</v>
      </c>
      <c r="J94" s="8">
        <v>166</v>
      </c>
      <c r="K94" s="8">
        <v>163</v>
      </c>
      <c r="L94" s="8">
        <v>158</v>
      </c>
      <c r="M94" s="8">
        <v>179</v>
      </c>
      <c r="N94" s="8">
        <v>229</v>
      </c>
      <c r="O94" s="8">
        <v>217</v>
      </c>
      <c r="P94" s="8">
        <v>207</v>
      </c>
      <c r="Q94" s="8"/>
    </row>
    <row r="95" spans="2:17">
      <c r="B95" s="8" t="s">
        <v>195</v>
      </c>
      <c r="C95" s="8">
        <v>17</v>
      </c>
      <c r="D95" s="8">
        <v>28</v>
      </c>
      <c r="E95" s="8">
        <v>28</v>
      </c>
      <c r="F95" s="8">
        <v>41</v>
      </c>
      <c r="G95" s="8">
        <v>30</v>
      </c>
      <c r="H95" s="8">
        <v>22</v>
      </c>
      <c r="I95" s="8">
        <v>29</v>
      </c>
      <c r="J95" s="8">
        <v>24</v>
      </c>
      <c r="K95" s="8">
        <v>28</v>
      </c>
      <c r="L95" s="8">
        <v>33</v>
      </c>
      <c r="M95" s="8">
        <v>27</v>
      </c>
      <c r="N95" s="8">
        <v>22</v>
      </c>
      <c r="O95" s="8">
        <v>34</v>
      </c>
      <c r="P95" s="8">
        <v>28</v>
      </c>
      <c r="Q95" s="8"/>
    </row>
    <row r="96" spans="2:17">
      <c r="B96" s="8" t="s">
        <v>196</v>
      </c>
      <c r="C96" s="8">
        <v>1</v>
      </c>
      <c r="D96" s="8">
        <v>2</v>
      </c>
      <c r="E96" s="8">
        <v>1</v>
      </c>
      <c r="F96" s="8">
        <v>2</v>
      </c>
      <c r="G96" s="8">
        <v>2</v>
      </c>
      <c r="H96" s="8">
        <v>1</v>
      </c>
      <c r="I96" s="8">
        <v>4</v>
      </c>
      <c r="J96" s="8">
        <v>5</v>
      </c>
      <c r="K96" s="8">
        <v>5</v>
      </c>
      <c r="L96" s="8">
        <v>2</v>
      </c>
      <c r="M96" s="8">
        <v>1</v>
      </c>
      <c r="N96" s="8">
        <v>1</v>
      </c>
      <c r="O96" s="8">
        <v>3</v>
      </c>
      <c r="P96" s="8">
        <v>2</v>
      </c>
      <c r="Q96" s="8"/>
    </row>
    <row r="97" spans="2:17">
      <c r="B97" s="8" t="s">
        <v>197</v>
      </c>
      <c r="C97" s="10">
        <f>SUM(C87:C96)</f>
        <v>1663</v>
      </c>
      <c r="D97" s="10">
        <f t="shared" ref="D97" si="1">SUM(D87:D96)</f>
        <v>2133</v>
      </c>
      <c r="E97" s="10">
        <f t="shared" ref="E97" si="2">SUM(E87:E96)</f>
        <v>2331</v>
      </c>
      <c r="F97" s="10">
        <f t="shared" ref="F97" si="3">SUM(F87:F96)</f>
        <v>2031</v>
      </c>
      <c r="G97" s="10">
        <f t="shared" ref="G97" si="4">SUM(G87:G96)</f>
        <v>1953</v>
      </c>
      <c r="H97" s="10">
        <f t="shared" ref="H97" si="5">SUM(H87:H96)</f>
        <v>1541</v>
      </c>
      <c r="I97" s="10">
        <f t="shared" ref="I97" si="6">SUM(I87:I96)</f>
        <v>2080</v>
      </c>
      <c r="J97" s="10">
        <f t="shared" ref="J97" si="7">SUM(J87:J96)</f>
        <v>1702</v>
      </c>
      <c r="K97" s="10">
        <f t="shared" ref="K97" si="8">SUM(K87:K96)</f>
        <v>1703</v>
      </c>
      <c r="L97" s="10">
        <f t="shared" ref="L97" si="9">SUM(L87:L96)</f>
        <v>1920</v>
      </c>
      <c r="M97" s="10">
        <f t="shared" ref="M97" si="10">SUM(M87:M96)</f>
        <v>1974</v>
      </c>
      <c r="N97" s="10">
        <f t="shared" ref="N97" si="11">SUM(N87:N96)</f>
        <v>2077</v>
      </c>
      <c r="O97" s="10">
        <f t="shared" ref="O97" si="12">SUM(O87:O96)</f>
        <v>3576</v>
      </c>
      <c r="P97" s="10">
        <f t="shared" ref="P97" si="13">SUM(P87:P96)</f>
        <v>3867</v>
      </c>
    </row>
    <row r="98" spans="2:17">
      <c r="B98" s="8" t="s">
        <v>26</v>
      </c>
    </row>
    <row r="99" spans="2:17">
      <c r="B99" s="14" t="s">
        <v>200</v>
      </c>
      <c r="C99" s="7">
        <v>45170</v>
      </c>
      <c r="D99" s="7">
        <v>45200</v>
      </c>
      <c r="E99" s="7">
        <v>45231</v>
      </c>
      <c r="F99" s="7">
        <v>45261</v>
      </c>
      <c r="G99" s="7">
        <v>45292</v>
      </c>
      <c r="H99" s="7">
        <v>45323</v>
      </c>
      <c r="I99" s="7">
        <v>45352</v>
      </c>
      <c r="J99" s="7">
        <v>45383</v>
      </c>
      <c r="K99" s="7">
        <v>45413</v>
      </c>
      <c r="L99" s="7">
        <v>45444</v>
      </c>
      <c r="M99" s="7">
        <v>45474</v>
      </c>
      <c r="N99" s="7">
        <v>45505</v>
      </c>
      <c r="O99" s="7">
        <v>45536</v>
      </c>
      <c r="P99" s="7">
        <v>45566</v>
      </c>
      <c r="Q99" s="7"/>
    </row>
    <row r="100" spans="2:17">
      <c r="B100" s="8" t="s">
        <v>187</v>
      </c>
      <c r="C100" s="15">
        <v>0.105882352941176</v>
      </c>
      <c r="D100" s="15">
        <v>0.104651162790698</v>
      </c>
      <c r="E100" s="15">
        <v>0.124031007751938</v>
      </c>
      <c r="F100" s="15">
        <v>0.233644859813084</v>
      </c>
      <c r="G100" s="15">
        <v>0.141843971631206</v>
      </c>
      <c r="H100" s="15">
        <v>0.178947368421053</v>
      </c>
      <c r="I100" s="15">
        <v>0.362068965517241</v>
      </c>
      <c r="J100" s="15">
        <v>0.444444444444444</v>
      </c>
      <c r="K100" s="15">
        <v>0.5</v>
      </c>
      <c r="L100" s="15">
        <v>0.363636363636364</v>
      </c>
      <c r="M100" s="15">
        <v>0.285714285714286</v>
      </c>
      <c r="N100" s="15">
        <v>0</v>
      </c>
      <c r="O100" s="15">
        <v>0.666666666666667</v>
      </c>
      <c r="P100" s="15">
        <v>0.5</v>
      </c>
      <c r="Q100" s="15"/>
    </row>
    <row r="101" spans="2:17">
      <c r="B101" s="8" t="s">
        <v>188</v>
      </c>
      <c r="C101" s="15">
        <v>0.0810372771474878</v>
      </c>
      <c r="D101" s="15">
        <v>0.0918367346938776</v>
      </c>
      <c r="E101" s="15">
        <v>0.0926517571884984</v>
      </c>
      <c r="F101" s="15">
        <v>0.0916271721958926</v>
      </c>
      <c r="G101" s="15">
        <v>0.0897435897435897</v>
      </c>
      <c r="H101" s="15">
        <v>0.103202846975089</v>
      </c>
      <c r="I101" s="15">
        <v>0.148148148148148</v>
      </c>
      <c r="J101" s="15">
        <v>0.230769230769231</v>
      </c>
      <c r="K101" s="15">
        <v>0.258823529411765</v>
      </c>
      <c r="L101" s="15">
        <v>0.259574468085106</v>
      </c>
      <c r="M101" s="15">
        <v>0.177570093457944</v>
      </c>
      <c r="N101" s="15">
        <v>0.0666666666666667</v>
      </c>
      <c r="O101" s="15">
        <v>0.461538461538462</v>
      </c>
      <c r="P101" s="15">
        <v>0.421875</v>
      </c>
      <c r="Q101" s="15"/>
    </row>
    <row r="102" spans="2:17">
      <c r="B102" s="8" t="s">
        <v>189</v>
      </c>
      <c r="C102" s="15">
        <v>0.0808988764044944</v>
      </c>
      <c r="D102" s="15">
        <v>0.0803571428571429</v>
      </c>
      <c r="E102" s="15">
        <v>0.0776884806735553</v>
      </c>
      <c r="F102" s="15">
        <v>0.0753854940034266</v>
      </c>
      <c r="G102" s="15">
        <v>0.0629425649095201</v>
      </c>
      <c r="H102" s="15">
        <v>0.0855745721271394</v>
      </c>
      <c r="I102" s="15">
        <v>0.0987292277614858</v>
      </c>
      <c r="J102" s="15">
        <v>0.139259259259259</v>
      </c>
      <c r="K102" s="15">
        <v>0.201005025125628</v>
      </c>
      <c r="L102" s="15">
        <v>0.173289183222958</v>
      </c>
      <c r="M102" s="15">
        <v>0.174311926605505</v>
      </c>
      <c r="N102" s="15">
        <v>0.190789473684211</v>
      </c>
      <c r="O102" s="15">
        <v>0.228865979381443</v>
      </c>
      <c r="P102" s="15">
        <v>0.301486199575372</v>
      </c>
      <c r="Q102" s="15"/>
    </row>
    <row r="103" spans="2:17">
      <c r="B103" s="8" t="s">
        <v>190</v>
      </c>
      <c r="C103" s="15">
        <v>0.0531996915959908</v>
      </c>
      <c r="D103" s="15">
        <v>0.0518627933694403</v>
      </c>
      <c r="E103" s="15">
        <v>0.0433295324971494</v>
      </c>
      <c r="F103" s="15">
        <v>0.0442847593582888</v>
      </c>
      <c r="G103" s="15">
        <v>0.0516889594196327</v>
      </c>
      <c r="H103" s="15">
        <v>0.0530434782608696</v>
      </c>
      <c r="I103" s="15">
        <v>0.0550856199711162</v>
      </c>
      <c r="J103" s="15">
        <v>0.0638935108153078</v>
      </c>
      <c r="K103" s="15">
        <v>0.0883280757097792</v>
      </c>
      <c r="L103" s="15">
        <v>0.0829848825989064</v>
      </c>
      <c r="M103" s="15">
        <v>0.0905271199388846</v>
      </c>
      <c r="N103" s="15">
        <v>0.0952608903781714</v>
      </c>
      <c r="O103" s="15">
        <v>0.139236732259988</v>
      </c>
      <c r="P103" s="15">
        <v>0.141916906622789</v>
      </c>
      <c r="Q103" s="15"/>
    </row>
    <row r="104" spans="2:17">
      <c r="B104" s="8" t="s">
        <v>191</v>
      </c>
      <c r="C104" s="15">
        <v>0.0348315678977002</v>
      </c>
      <c r="D104" s="15">
        <v>0.0277372262773723</v>
      </c>
      <c r="E104" s="15">
        <v>0.0225513295186806</v>
      </c>
      <c r="F104" s="15">
        <v>0.0226415094339623</v>
      </c>
      <c r="G104" s="15">
        <v>0.0270343153778737</v>
      </c>
      <c r="H104" s="15">
        <v>0.0259924780610113</v>
      </c>
      <c r="I104" s="15">
        <v>0.0260579937304075</v>
      </c>
      <c r="J104" s="15">
        <v>0.0291779759596743</v>
      </c>
      <c r="K104" s="15">
        <v>0.0338328260360571</v>
      </c>
      <c r="L104" s="15">
        <v>0.0370332270342557</v>
      </c>
      <c r="M104" s="15">
        <v>0.0407387862796834</v>
      </c>
      <c r="N104" s="15">
        <v>0.045064874884152</v>
      </c>
      <c r="O104" s="15">
        <v>0.0693192158160311</v>
      </c>
      <c r="P104" s="15">
        <v>0.0780665579744893</v>
      </c>
      <c r="Q104" s="15"/>
    </row>
    <row r="105" spans="2:17">
      <c r="B105" s="8" t="s">
        <v>192</v>
      </c>
      <c r="C105" s="15">
        <v>0.0190368567454798</v>
      </c>
      <c r="D105" s="15">
        <v>0.0158153518524318</v>
      </c>
      <c r="E105" s="15">
        <v>0.013471047645455</v>
      </c>
      <c r="F105" s="15">
        <v>0.0132182761372706</v>
      </c>
      <c r="G105" s="15">
        <v>0.0137851809304997</v>
      </c>
      <c r="H105" s="15">
        <v>0.0141087521517535</v>
      </c>
      <c r="I105" s="15">
        <v>0.0151774656794287</v>
      </c>
      <c r="J105" s="15">
        <v>0.0153771559188197</v>
      </c>
      <c r="K105" s="15">
        <v>0.0178394021856507</v>
      </c>
      <c r="L105" s="15">
        <v>0.0179706834189987</v>
      </c>
      <c r="M105" s="15">
        <v>0.0170869788986104</v>
      </c>
      <c r="N105" s="15">
        <v>0.0244412885865909</v>
      </c>
      <c r="O105" s="15">
        <v>0.0370523241046482</v>
      </c>
      <c r="P105" s="15">
        <v>0.0419055089603572</v>
      </c>
      <c r="Q105" s="15"/>
    </row>
    <row r="106" spans="2:17">
      <c r="B106" s="8" t="s">
        <v>193</v>
      </c>
      <c r="C106" s="15">
        <v>0.0103765741909659</v>
      </c>
      <c r="D106" s="15">
        <v>0.0100503717917966</v>
      </c>
      <c r="E106" s="15">
        <v>0.00826715389207475</v>
      </c>
      <c r="F106" s="15">
        <v>0.00780524398085304</v>
      </c>
      <c r="G106" s="15">
        <v>0.00814422818189972</v>
      </c>
      <c r="H106" s="15">
        <v>0.00812699546763714</v>
      </c>
      <c r="I106" s="15">
        <v>0.00858090441679681</v>
      </c>
      <c r="J106" s="15">
        <v>0.00862882302067773</v>
      </c>
      <c r="K106" s="15">
        <v>0.00820044468883735</v>
      </c>
      <c r="L106" s="15">
        <v>0.00963592458437819</v>
      </c>
      <c r="M106" s="15">
        <v>0.0104041930861192</v>
      </c>
      <c r="N106" s="15">
        <v>0.0105515394373855</v>
      </c>
      <c r="O106" s="15">
        <v>0.0145220254084951</v>
      </c>
      <c r="P106" s="15">
        <v>0.0175695461200586</v>
      </c>
      <c r="Q106" s="15"/>
    </row>
    <row r="107" spans="2:17">
      <c r="B107" s="8" t="s">
        <v>194</v>
      </c>
      <c r="C107" s="15">
        <v>0.00619356058815186</v>
      </c>
      <c r="D107" s="15">
        <v>0.00650630914826498</v>
      </c>
      <c r="E107" s="15">
        <v>0.00502008032128514</v>
      </c>
      <c r="F107" s="15">
        <v>0.00465923331512484</v>
      </c>
      <c r="G107" s="15">
        <v>0.00532466037301405</v>
      </c>
      <c r="H107" s="15">
        <v>0.00468488566648076</v>
      </c>
      <c r="I107" s="15">
        <v>0.00466793974114152</v>
      </c>
      <c r="J107" s="15">
        <v>0.00473582106584503</v>
      </c>
      <c r="K107" s="15">
        <v>0.0055291723202171</v>
      </c>
      <c r="L107" s="15">
        <v>0.00561717861205916</v>
      </c>
      <c r="M107" s="15">
        <v>0.00528741064571395</v>
      </c>
      <c r="N107" s="15">
        <v>0.00700027511998288</v>
      </c>
      <c r="O107" s="15">
        <v>0.00718471674999172</v>
      </c>
      <c r="P107" s="15">
        <v>0.00726010101010101</v>
      </c>
      <c r="Q107" s="15"/>
    </row>
    <row r="108" spans="2:17">
      <c r="B108" s="8" t="s">
        <v>195</v>
      </c>
      <c r="C108" s="15">
        <v>0.00220292859919658</v>
      </c>
      <c r="D108" s="15">
        <v>0.0031609844208625</v>
      </c>
      <c r="E108" s="15">
        <v>0.00328986018094231</v>
      </c>
      <c r="F108" s="15">
        <v>0.00447158905005998</v>
      </c>
      <c r="G108" s="15">
        <v>0.00292426162393996</v>
      </c>
      <c r="H108" s="15">
        <v>0.0028122203758149</v>
      </c>
      <c r="I108" s="15">
        <v>0.00323588484713234</v>
      </c>
      <c r="J108" s="15">
        <v>0.00220770858246711</v>
      </c>
      <c r="K108" s="15">
        <v>0.00282400403429148</v>
      </c>
      <c r="L108" s="15">
        <v>0.00360971341063225</v>
      </c>
      <c r="M108" s="15">
        <v>0.00274111675126904</v>
      </c>
      <c r="N108" s="15">
        <v>0.00242531143203616</v>
      </c>
      <c r="O108" s="15">
        <v>0.00406844561445495</v>
      </c>
      <c r="P108" s="15">
        <v>0.0036161694433682</v>
      </c>
      <c r="Q108" s="15"/>
    </row>
    <row r="109" spans="2:17">
      <c r="B109" s="8" t="s">
        <v>196</v>
      </c>
      <c r="C109" s="15">
        <v>0.000792393026941363</v>
      </c>
      <c r="D109" s="15">
        <v>0.00139762403913347</v>
      </c>
      <c r="E109" s="15">
        <v>0.000753012048192771</v>
      </c>
      <c r="F109" s="15">
        <v>0.00140646976090014</v>
      </c>
      <c r="G109" s="15">
        <v>0.00136705399863295</v>
      </c>
      <c r="H109" s="15">
        <v>0.000971817298347911</v>
      </c>
      <c r="I109" s="15">
        <v>0.0036330608537693</v>
      </c>
      <c r="J109" s="15">
        <v>0.00385802469135802</v>
      </c>
      <c r="K109" s="15">
        <v>0.00380517503805175</v>
      </c>
      <c r="L109" s="15">
        <v>0.00172413793103448</v>
      </c>
      <c r="M109" s="15">
        <v>0.000909918107370337</v>
      </c>
      <c r="N109" s="15">
        <v>0.00108108108108108</v>
      </c>
      <c r="O109" s="15">
        <v>0.0035377358490566</v>
      </c>
      <c r="P109" s="15">
        <v>0.00274348422496571</v>
      </c>
      <c r="Q109" s="15"/>
    </row>
    <row r="110" spans="2:17">
      <c r="B110" s="8"/>
    </row>
  </sheetData>
  <conditionalFormatting sqref="C3:R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{ed5d7f23-f7e5-455a-85bd-dbdd138c83ef}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{98923f3a-0709-438e-bf93-12c0152d98fc}</x14:id>
        </ext>
      </extLst>
    </cfRule>
  </conditionalFormatting>
  <conditionalFormatting sqref="M20:M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Q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:Q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:Q6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0:Q10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5d7f23-f7e5-455a-85bd-dbdd138c8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923f3a-0709-438e-bf93-12c0152d98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C3:R3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回溯表</vt:lpstr>
      <vt:lpstr>建模信息</vt:lpstr>
      <vt:lpstr>KS</vt:lpstr>
      <vt:lpstr>特征重要性</vt:lpstr>
      <vt:lpstr>模型效果</vt:lpstr>
      <vt:lpstr>打分分布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LXM3650147</dc:creator>
  <cp:lastModifiedBy>WPS_1760096942</cp:lastModifiedBy>
  <dcterms:created xsi:type="dcterms:W3CDTF">2025-06-11T21:36:00Z</dcterms:created>
  <dcterms:modified xsi:type="dcterms:W3CDTF">2026-06-25T10:19:11Z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198065953B31B8F27B04326A4555F0F9_42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